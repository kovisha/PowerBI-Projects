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5.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pivotTables/pivotTable6.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hidePivotFieldList="1"/>
  <mc:AlternateContent xmlns:mc="http://schemas.openxmlformats.org/markup-compatibility/2006">
    <mc:Choice Requires="x15">
      <x15ac:absPath xmlns:x15ac="http://schemas.microsoft.com/office/spreadsheetml/2010/11/ac" url="C:\Users\Ashan\AppData\Local\Microsoft\Windows\INetCache\Content.Outlook\L28U248Q\"/>
    </mc:Choice>
  </mc:AlternateContent>
  <bookViews>
    <workbookView xWindow="-108" yWindow="-108" windowWidth="23256" windowHeight="12576"/>
  </bookViews>
  <sheets>
    <sheet name="Sheet1" sheetId="1" r:id="rId1"/>
    <sheet name="undentified" sheetId="10" r:id="rId2"/>
    <sheet name="Sheet2" sheetId="2" state="hidden" r:id="rId3"/>
    <sheet name="Sheet4" sheetId="4" state="hidden" r:id="rId4"/>
    <sheet name="Sheet8" sheetId="8" state="hidden" r:id="rId5"/>
    <sheet name="Sheet5" sheetId="5" state="hidden" r:id="rId6"/>
    <sheet name="Sheet3" sheetId="3" state="hidden" r:id="rId7"/>
    <sheet name="Sheet9" sheetId="9" state="hidden" r:id="rId8"/>
    <sheet name="DB" sheetId="7" r:id="rId9"/>
  </sheets>
  <externalReferences>
    <externalReference r:id="rId10"/>
  </externalReferences>
  <definedNames>
    <definedName name="_xlnm._FilterDatabase" localSheetId="0" hidden="1">Sheet1!$A$1:$T$806</definedName>
    <definedName name="aud">[1]Sheet3!$B$4</definedName>
    <definedName name="eur">[1]Sheet3!$B$3</definedName>
    <definedName name="gpb">[1]Sheet3!$B$2</definedName>
    <definedName name="Slicer_Agent">#N/A</definedName>
    <definedName name="Slicer_Month">#N/A</definedName>
    <definedName name="Slicer_Year">#N/A</definedName>
    <definedName name="usd">[1]Sheet3!$B$1</definedName>
  </definedNames>
  <calcPr calcId="162913"/>
  <pivotCaches>
    <pivotCache cacheId="0"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806" i="1" l="1"/>
  <c r="S806" i="1"/>
  <c r="R806" i="1"/>
  <c r="N806" i="1"/>
  <c r="T805" i="1"/>
  <c r="S805" i="1"/>
  <c r="R805" i="1"/>
  <c r="N805" i="1"/>
  <c r="T804" i="1"/>
  <c r="S804" i="1"/>
  <c r="R804" i="1"/>
  <c r="N804" i="1"/>
  <c r="T803" i="1"/>
  <c r="S803" i="1"/>
  <c r="R803" i="1"/>
  <c r="N803" i="1"/>
  <c r="T802" i="1"/>
  <c r="S802" i="1"/>
  <c r="R802" i="1"/>
  <c r="N802" i="1"/>
  <c r="T801" i="1"/>
  <c r="S801" i="1"/>
  <c r="R801" i="1"/>
  <c r="N801" i="1"/>
  <c r="T800" i="1"/>
  <c r="S800" i="1"/>
  <c r="R800" i="1"/>
  <c r="N800" i="1"/>
  <c r="T799" i="1"/>
  <c r="S799" i="1"/>
  <c r="R799" i="1"/>
  <c r="N799" i="1"/>
  <c r="T798" i="1"/>
  <c r="S798" i="1"/>
  <c r="R798" i="1"/>
  <c r="N798" i="1"/>
  <c r="T797" i="1"/>
  <c r="S797" i="1"/>
  <c r="R797" i="1"/>
  <c r="N797" i="1"/>
  <c r="T796" i="1"/>
  <c r="S796" i="1"/>
  <c r="R796" i="1"/>
  <c r="N796" i="1"/>
  <c r="T795" i="1"/>
  <c r="S795" i="1"/>
  <c r="R795" i="1"/>
  <c r="N795" i="1"/>
  <c r="T794" i="1"/>
  <c r="S794" i="1"/>
  <c r="R794" i="1"/>
  <c r="N794" i="1"/>
  <c r="T793" i="1"/>
  <c r="S793" i="1"/>
  <c r="R793" i="1"/>
  <c r="N793" i="1"/>
  <c r="T792" i="1"/>
  <c r="S792" i="1"/>
  <c r="R792" i="1"/>
  <c r="N792" i="1"/>
  <c r="T791" i="1"/>
  <c r="S791" i="1"/>
  <c r="R791" i="1"/>
  <c r="N791" i="1"/>
  <c r="T790" i="1"/>
  <c r="S790" i="1"/>
  <c r="R790" i="1"/>
  <c r="N790" i="1"/>
  <c r="T789" i="1"/>
  <c r="S789" i="1"/>
  <c r="R789" i="1"/>
  <c r="N789" i="1"/>
  <c r="T788" i="1"/>
  <c r="S788" i="1"/>
  <c r="R788" i="1"/>
  <c r="N788" i="1"/>
  <c r="T787" i="1"/>
  <c r="S787" i="1"/>
  <c r="R787" i="1"/>
  <c r="N787" i="1"/>
  <c r="T786" i="1"/>
  <c r="S786" i="1"/>
  <c r="R786" i="1"/>
  <c r="N786" i="1"/>
  <c r="T785" i="1"/>
  <c r="S785" i="1"/>
  <c r="R785" i="1"/>
  <c r="N785" i="1"/>
  <c r="T784" i="1"/>
  <c r="S784" i="1"/>
  <c r="R784" i="1"/>
  <c r="N784" i="1"/>
  <c r="T783" i="1"/>
  <c r="S783" i="1"/>
  <c r="R783" i="1"/>
  <c r="N783" i="1"/>
  <c r="T782" i="1"/>
  <c r="S782" i="1"/>
  <c r="R782" i="1"/>
  <c r="N782" i="1"/>
  <c r="T781" i="1"/>
  <c r="S781" i="1"/>
  <c r="R781" i="1"/>
  <c r="N781" i="1"/>
  <c r="T780" i="1"/>
  <c r="S780" i="1"/>
  <c r="R780" i="1"/>
  <c r="N780" i="1"/>
  <c r="T779" i="1"/>
  <c r="S779" i="1"/>
  <c r="R779" i="1"/>
  <c r="N779" i="1"/>
  <c r="T778" i="1"/>
  <c r="S778" i="1"/>
  <c r="R778" i="1"/>
  <c r="N778" i="1"/>
  <c r="T777" i="1"/>
  <c r="S777" i="1"/>
  <c r="R777" i="1"/>
  <c r="N777" i="1"/>
  <c r="T776" i="1"/>
  <c r="S776" i="1"/>
  <c r="R776" i="1"/>
  <c r="N776" i="1"/>
  <c r="T775" i="1"/>
  <c r="S775" i="1"/>
  <c r="R775" i="1"/>
  <c r="N775" i="1"/>
  <c r="T774" i="1"/>
  <c r="S774" i="1"/>
  <c r="R774" i="1"/>
  <c r="N774" i="1"/>
  <c r="T773" i="1"/>
  <c r="S773" i="1"/>
  <c r="R773" i="1"/>
  <c r="N773" i="1"/>
  <c r="T772" i="1"/>
  <c r="S772" i="1"/>
  <c r="R772" i="1"/>
  <c r="N772" i="1"/>
  <c r="T771" i="1"/>
  <c r="S771" i="1"/>
  <c r="R771" i="1"/>
  <c r="N771" i="1"/>
  <c r="T770" i="1"/>
  <c r="S770" i="1"/>
  <c r="R770" i="1"/>
  <c r="N770" i="1"/>
  <c r="T769" i="1"/>
  <c r="S769" i="1"/>
  <c r="R769" i="1"/>
  <c r="N769" i="1"/>
  <c r="T768" i="1"/>
  <c r="S768" i="1"/>
  <c r="R768" i="1"/>
  <c r="N768" i="1"/>
  <c r="T767" i="1"/>
  <c r="S767" i="1"/>
  <c r="R767" i="1"/>
  <c r="N767" i="1"/>
  <c r="T766" i="1"/>
  <c r="S766" i="1"/>
  <c r="R766" i="1"/>
  <c r="N766" i="1"/>
  <c r="T765" i="1"/>
  <c r="S765" i="1"/>
  <c r="R765" i="1"/>
  <c r="N765" i="1"/>
  <c r="T764" i="1"/>
  <c r="S764" i="1"/>
  <c r="R764" i="1"/>
  <c r="N764" i="1"/>
  <c r="T763" i="1"/>
  <c r="S763" i="1"/>
  <c r="R763" i="1"/>
  <c r="N763" i="1"/>
  <c r="T762" i="1"/>
  <c r="S762" i="1"/>
  <c r="R762" i="1"/>
  <c r="N762" i="1"/>
  <c r="T761" i="1"/>
  <c r="S761" i="1"/>
  <c r="R761" i="1"/>
  <c r="N761" i="1"/>
  <c r="T760" i="1"/>
  <c r="S760" i="1"/>
  <c r="R760" i="1"/>
  <c r="N760" i="1"/>
  <c r="T759" i="1"/>
  <c r="S759" i="1"/>
  <c r="R759" i="1"/>
  <c r="N759" i="1"/>
  <c r="T758" i="1"/>
  <c r="S758" i="1"/>
  <c r="R758" i="1"/>
  <c r="N758" i="1"/>
  <c r="T757" i="1"/>
  <c r="S757" i="1"/>
  <c r="R757" i="1"/>
  <c r="N757" i="1"/>
  <c r="T756" i="1"/>
  <c r="S756" i="1"/>
  <c r="R756" i="1"/>
  <c r="N756" i="1"/>
  <c r="T755" i="1"/>
  <c r="S755" i="1"/>
  <c r="R755" i="1"/>
  <c r="N755" i="1"/>
  <c r="T754" i="1"/>
  <c r="S754" i="1"/>
  <c r="R754" i="1"/>
  <c r="N754" i="1"/>
  <c r="T753" i="1"/>
  <c r="S753" i="1"/>
  <c r="R753" i="1"/>
  <c r="N753" i="1"/>
  <c r="T752" i="1"/>
  <c r="S752" i="1"/>
  <c r="R752" i="1"/>
  <c r="N752" i="1"/>
  <c r="T751" i="1"/>
  <c r="S751" i="1"/>
  <c r="R751" i="1"/>
  <c r="N751" i="1"/>
  <c r="T750" i="1"/>
  <c r="S750" i="1"/>
  <c r="R750" i="1"/>
  <c r="N750" i="1"/>
  <c r="T749" i="1"/>
  <c r="S749" i="1"/>
  <c r="R749" i="1"/>
  <c r="N749" i="1"/>
  <c r="T748" i="1"/>
  <c r="S748" i="1"/>
  <c r="R748" i="1"/>
  <c r="N748" i="1"/>
  <c r="T747" i="1"/>
  <c r="S747" i="1"/>
  <c r="R747" i="1"/>
  <c r="N747" i="1"/>
  <c r="T746" i="1"/>
  <c r="S746" i="1"/>
  <c r="R746" i="1"/>
  <c r="N746" i="1"/>
  <c r="T745" i="1"/>
  <c r="S745" i="1"/>
  <c r="R745" i="1"/>
  <c r="N745" i="1"/>
  <c r="T744" i="1"/>
  <c r="S744" i="1"/>
  <c r="R744" i="1"/>
  <c r="N744" i="1"/>
  <c r="T743" i="1"/>
  <c r="S743" i="1"/>
  <c r="R743" i="1"/>
  <c r="N743" i="1"/>
  <c r="T742" i="1"/>
  <c r="S742" i="1"/>
  <c r="R742" i="1"/>
  <c r="N742" i="1"/>
  <c r="T741" i="1"/>
  <c r="S741" i="1"/>
  <c r="R741" i="1"/>
  <c r="N741" i="1"/>
  <c r="T740" i="1"/>
  <c r="S740" i="1"/>
  <c r="R740" i="1"/>
  <c r="N740" i="1"/>
  <c r="T739" i="1"/>
  <c r="S739" i="1"/>
  <c r="R739" i="1"/>
  <c r="N739" i="1"/>
  <c r="T738" i="1"/>
  <c r="S738" i="1"/>
  <c r="R738" i="1"/>
  <c r="N738" i="1"/>
  <c r="T737" i="1"/>
  <c r="S737" i="1"/>
  <c r="R737" i="1"/>
  <c r="N737" i="1"/>
  <c r="T736" i="1"/>
  <c r="S736" i="1"/>
  <c r="R736" i="1"/>
  <c r="N736" i="1"/>
  <c r="T735" i="1"/>
  <c r="S735" i="1"/>
  <c r="R735" i="1"/>
  <c r="N735" i="1"/>
  <c r="T734" i="1"/>
  <c r="S734" i="1"/>
  <c r="R734" i="1"/>
  <c r="N734" i="1"/>
  <c r="T733" i="1"/>
  <c r="S733" i="1"/>
  <c r="R733" i="1"/>
  <c r="N733" i="1"/>
  <c r="T732" i="1"/>
  <c r="S732" i="1"/>
  <c r="R732" i="1"/>
  <c r="N732" i="1"/>
  <c r="T731" i="1"/>
  <c r="S731" i="1"/>
  <c r="R731" i="1"/>
  <c r="N731" i="1"/>
  <c r="T730" i="1"/>
  <c r="S730" i="1"/>
  <c r="R730" i="1"/>
  <c r="N730" i="1"/>
  <c r="T729" i="1"/>
  <c r="S729" i="1"/>
  <c r="R729" i="1"/>
  <c r="N729" i="1"/>
  <c r="T728" i="1"/>
  <c r="S728" i="1"/>
  <c r="R728" i="1"/>
  <c r="N728" i="1"/>
  <c r="T727" i="1"/>
  <c r="S727" i="1"/>
  <c r="R727" i="1"/>
  <c r="N727" i="1"/>
  <c r="T726" i="1"/>
  <c r="S726" i="1"/>
  <c r="R726" i="1"/>
  <c r="N726" i="1"/>
  <c r="T725" i="1"/>
  <c r="S725" i="1"/>
  <c r="R725" i="1"/>
  <c r="N725" i="1"/>
  <c r="T724" i="1"/>
  <c r="S724" i="1"/>
  <c r="R724" i="1"/>
  <c r="N724" i="1"/>
  <c r="T723" i="1"/>
  <c r="S723" i="1"/>
  <c r="R723" i="1"/>
  <c r="N723" i="1"/>
  <c r="T722" i="1"/>
  <c r="S722" i="1"/>
  <c r="R722" i="1"/>
  <c r="N722" i="1"/>
  <c r="T721" i="1"/>
  <c r="S721" i="1"/>
  <c r="R721" i="1"/>
  <c r="N721" i="1"/>
  <c r="T720" i="1"/>
  <c r="S720" i="1"/>
  <c r="R720" i="1"/>
  <c r="N720" i="1"/>
  <c r="T719" i="1"/>
  <c r="S719" i="1"/>
  <c r="R719" i="1"/>
  <c r="N719" i="1"/>
  <c r="T718" i="1"/>
  <c r="S718" i="1"/>
  <c r="R718" i="1"/>
  <c r="N718" i="1"/>
  <c r="T717" i="1"/>
  <c r="S717" i="1"/>
  <c r="R717" i="1"/>
  <c r="N717" i="1"/>
  <c r="T716" i="1"/>
  <c r="S716" i="1"/>
  <c r="R716" i="1"/>
  <c r="N716" i="1"/>
  <c r="T715" i="1"/>
  <c r="S715" i="1"/>
  <c r="R715" i="1"/>
  <c r="N715" i="1"/>
  <c r="T714" i="1"/>
  <c r="S714" i="1"/>
  <c r="R714" i="1"/>
  <c r="N714" i="1"/>
  <c r="T713" i="1"/>
  <c r="S713" i="1"/>
  <c r="R713" i="1"/>
  <c r="N713" i="1"/>
  <c r="T712" i="1"/>
  <c r="S712" i="1"/>
  <c r="R712" i="1"/>
  <c r="N712" i="1"/>
  <c r="T711" i="1"/>
  <c r="S711" i="1"/>
  <c r="R711" i="1"/>
  <c r="N711" i="1"/>
  <c r="T710" i="1"/>
  <c r="S710" i="1"/>
  <c r="R710" i="1"/>
  <c r="N710" i="1"/>
  <c r="T709" i="1"/>
  <c r="S709" i="1"/>
  <c r="R709" i="1"/>
  <c r="N709" i="1"/>
  <c r="T708" i="1"/>
  <c r="S708" i="1"/>
  <c r="R708" i="1"/>
  <c r="N708" i="1"/>
  <c r="T707" i="1"/>
  <c r="S707" i="1"/>
  <c r="R707" i="1"/>
  <c r="N707" i="1"/>
  <c r="T706" i="1"/>
  <c r="S706" i="1"/>
  <c r="R706" i="1"/>
  <c r="N706" i="1"/>
  <c r="T705" i="1"/>
  <c r="S705" i="1"/>
  <c r="R705" i="1"/>
  <c r="N705" i="1"/>
  <c r="T704" i="1"/>
  <c r="S704" i="1"/>
  <c r="R704" i="1"/>
  <c r="N704" i="1"/>
  <c r="T703" i="1"/>
  <c r="S703" i="1"/>
  <c r="R703" i="1"/>
  <c r="N703" i="1"/>
  <c r="T702" i="1"/>
  <c r="S702" i="1"/>
  <c r="R702" i="1"/>
  <c r="N702" i="1"/>
  <c r="T701" i="1"/>
  <c r="S701" i="1"/>
  <c r="R701" i="1"/>
  <c r="N701" i="1"/>
  <c r="T700" i="1"/>
  <c r="S700" i="1"/>
  <c r="R700" i="1"/>
  <c r="N700" i="1"/>
  <c r="T699" i="1"/>
  <c r="S699" i="1"/>
  <c r="R699" i="1"/>
  <c r="N699" i="1"/>
  <c r="T698" i="1"/>
  <c r="S698" i="1"/>
  <c r="R698" i="1"/>
  <c r="N698" i="1"/>
  <c r="T697" i="1"/>
  <c r="S697" i="1"/>
  <c r="R697" i="1"/>
  <c r="N697" i="1"/>
  <c r="T696" i="1"/>
  <c r="S696" i="1"/>
  <c r="R696" i="1"/>
  <c r="N696" i="1"/>
  <c r="T695" i="1"/>
  <c r="S695" i="1"/>
  <c r="R695" i="1"/>
  <c r="N695" i="1"/>
  <c r="T694" i="1"/>
  <c r="S694" i="1"/>
  <c r="R694" i="1"/>
  <c r="N694" i="1"/>
  <c r="T693" i="1"/>
  <c r="S693" i="1"/>
  <c r="R693" i="1"/>
  <c r="N693" i="1"/>
  <c r="T692" i="1"/>
  <c r="S692" i="1"/>
  <c r="R692" i="1"/>
  <c r="N692" i="1"/>
  <c r="T691" i="1"/>
  <c r="S691" i="1"/>
  <c r="R691" i="1"/>
  <c r="N691" i="1"/>
  <c r="T690" i="1"/>
  <c r="S690" i="1"/>
  <c r="R690" i="1"/>
  <c r="N690" i="1"/>
  <c r="T689" i="1"/>
  <c r="S689" i="1"/>
  <c r="R689" i="1"/>
  <c r="N689" i="1"/>
  <c r="T688" i="1"/>
  <c r="S688" i="1"/>
  <c r="R688" i="1"/>
  <c r="N688" i="1"/>
  <c r="T687" i="1"/>
  <c r="S687" i="1"/>
  <c r="R687" i="1"/>
  <c r="N687" i="1"/>
  <c r="T686" i="1"/>
  <c r="S686" i="1"/>
  <c r="R686" i="1"/>
  <c r="N686" i="1"/>
  <c r="T685" i="1"/>
  <c r="S685" i="1"/>
  <c r="R685" i="1"/>
  <c r="N685" i="1"/>
  <c r="T684" i="1"/>
  <c r="S684" i="1"/>
  <c r="R684" i="1"/>
  <c r="N684" i="1"/>
  <c r="T683" i="1"/>
  <c r="S683" i="1"/>
  <c r="R683" i="1"/>
  <c r="N683" i="1"/>
  <c r="T682" i="1"/>
  <c r="S682" i="1"/>
  <c r="R682" i="1"/>
  <c r="N682" i="1"/>
  <c r="T681" i="1"/>
  <c r="S681" i="1"/>
  <c r="R681" i="1"/>
  <c r="N681" i="1"/>
  <c r="T680" i="1"/>
  <c r="S680" i="1"/>
  <c r="R680" i="1"/>
  <c r="N680" i="1"/>
  <c r="T679" i="1"/>
  <c r="S679" i="1"/>
  <c r="R679" i="1"/>
  <c r="N679" i="1"/>
  <c r="T678" i="1"/>
  <c r="S678" i="1"/>
  <c r="R678" i="1"/>
  <c r="N678" i="1"/>
  <c r="T677" i="1"/>
  <c r="S677" i="1"/>
  <c r="R677" i="1"/>
  <c r="N677" i="1"/>
  <c r="T676" i="1"/>
  <c r="S676" i="1"/>
  <c r="R676" i="1"/>
  <c r="N676" i="1"/>
  <c r="T675" i="1"/>
  <c r="S675" i="1"/>
  <c r="R675" i="1"/>
  <c r="N675" i="1"/>
  <c r="T674" i="1"/>
  <c r="S674" i="1"/>
  <c r="R674" i="1"/>
  <c r="N674" i="1"/>
  <c r="T673" i="1"/>
  <c r="S673" i="1"/>
  <c r="R673" i="1"/>
  <c r="N673" i="1"/>
  <c r="T672" i="1"/>
  <c r="S672" i="1"/>
  <c r="R672" i="1"/>
  <c r="N672" i="1"/>
  <c r="T671" i="1"/>
  <c r="S671" i="1"/>
  <c r="R671" i="1"/>
  <c r="N671" i="1"/>
  <c r="T670" i="1"/>
  <c r="S670" i="1"/>
  <c r="R670" i="1"/>
  <c r="N670" i="1"/>
  <c r="T669" i="1"/>
  <c r="S669" i="1"/>
  <c r="R669" i="1"/>
  <c r="N669" i="1"/>
  <c r="T668" i="1"/>
  <c r="S668" i="1"/>
  <c r="R668" i="1"/>
  <c r="N668" i="1"/>
  <c r="T667" i="1"/>
  <c r="S667" i="1"/>
  <c r="R667" i="1"/>
  <c r="N667" i="1"/>
  <c r="T666" i="1"/>
  <c r="S666" i="1"/>
  <c r="R666" i="1"/>
  <c r="N666" i="1"/>
  <c r="T665" i="1"/>
  <c r="S665" i="1"/>
  <c r="R665" i="1"/>
  <c r="N665" i="1"/>
  <c r="T664" i="1"/>
  <c r="S664" i="1"/>
  <c r="R664" i="1"/>
  <c r="N664" i="1"/>
  <c r="T663" i="1"/>
  <c r="S663" i="1"/>
  <c r="R663" i="1"/>
  <c r="N663" i="1"/>
  <c r="T662" i="1"/>
  <c r="S662" i="1"/>
  <c r="R662" i="1"/>
  <c r="N662" i="1"/>
  <c r="T661" i="1"/>
  <c r="S661" i="1"/>
  <c r="R661" i="1"/>
  <c r="N661" i="1"/>
  <c r="T660" i="1"/>
  <c r="S660" i="1"/>
  <c r="R660" i="1"/>
  <c r="N660" i="1"/>
  <c r="T659" i="1"/>
  <c r="S659" i="1"/>
  <c r="R659" i="1"/>
  <c r="N659" i="1"/>
  <c r="T658" i="1"/>
  <c r="S658" i="1"/>
  <c r="R658" i="1"/>
  <c r="N658" i="1"/>
  <c r="T657" i="1"/>
  <c r="S657" i="1"/>
  <c r="R657" i="1"/>
  <c r="N657" i="1"/>
  <c r="T656" i="1"/>
  <c r="S656" i="1"/>
  <c r="R656" i="1"/>
  <c r="N656" i="1"/>
  <c r="T655" i="1"/>
  <c r="S655" i="1"/>
  <c r="R655" i="1"/>
  <c r="N655" i="1"/>
  <c r="T654" i="1"/>
  <c r="S654" i="1"/>
  <c r="R654" i="1"/>
  <c r="N654" i="1"/>
  <c r="T653" i="1"/>
  <c r="S653" i="1"/>
  <c r="R653" i="1"/>
  <c r="N653" i="1"/>
  <c r="T652" i="1"/>
  <c r="S652" i="1"/>
  <c r="R652" i="1"/>
  <c r="N652" i="1"/>
  <c r="T651" i="1"/>
  <c r="S651" i="1"/>
  <c r="R651" i="1"/>
  <c r="N651" i="1"/>
  <c r="T650" i="1"/>
  <c r="S650" i="1"/>
  <c r="R650" i="1"/>
  <c r="N650" i="1"/>
  <c r="T649" i="1"/>
  <c r="S649" i="1"/>
  <c r="R649" i="1"/>
  <c r="N649" i="1"/>
  <c r="T648" i="1"/>
  <c r="S648" i="1"/>
  <c r="R648" i="1"/>
  <c r="N648" i="1"/>
  <c r="T647" i="1"/>
  <c r="S647" i="1"/>
  <c r="R647" i="1"/>
  <c r="N647" i="1"/>
  <c r="T646" i="1"/>
  <c r="S646" i="1"/>
  <c r="R646" i="1"/>
  <c r="N646" i="1"/>
  <c r="T645" i="1"/>
  <c r="S645" i="1"/>
  <c r="R645" i="1"/>
  <c r="N645" i="1"/>
  <c r="T644" i="1"/>
  <c r="S644" i="1"/>
  <c r="R644" i="1"/>
  <c r="N644" i="1"/>
  <c r="T643" i="1"/>
  <c r="S643" i="1"/>
  <c r="R643" i="1"/>
  <c r="N643" i="1"/>
  <c r="T642" i="1"/>
  <c r="S642" i="1"/>
  <c r="R642" i="1"/>
  <c r="N642" i="1"/>
  <c r="T641" i="1"/>
  <c r="S641" i="1"/>
  <c r="R641" i="1"/>
  <c r="N641" i="1"/>
  <c r="T640" i="1"/>
  <c r="S640" i="1"/>
  <c r="R640" i="1"/>
  <c r="N640" i="1"/>
  <c r="T639" i="1"/>
  <c r="S639" i="1"/>
  <c r="R639" i="1"/>
  <c r="N639" i="1"/>
  <c r="T638" i="1"/>
  <c r="S638" i="1"/>
  <c r="R638" i="1"/>
  <c r="N638" i="1"/>
  <c r="T637" i="1"/>
  <c r="S637" i="1"/>
  <c r="R637" i="1"/>
  <c r="N637" i="1"/>
  <c r="T636" i="1"/>
  <c r="S636" i="1"/>
  <c r="R636" i="1"/>
  <c r="N636" i="1"/>
  <c r="T635" i="1"/>
  <c r="S635" i="1"/>
  <c r="R635" i="1"/>
  <c r="N635" i="1"/>
  <c r="T634" i="1"/>
  <c r="S634" i="1"/>
  <c r="R634" i="1"/>
  <c r="N634" i="1"/>
  <c r="T633" i="1"/>
  <c r="S633" i="1"/>
  <c r="R633" i="1"/>
  <c r="N633" i="1"/>
  <c r="T632" i="1"/>
  <c r="S632" i="1"/>
  <c r="R632" i="1"/>
  <c r="N632" i="1"/>
  <c r="T631" i="1"/>
  <c r="S631" i="1"/>
  <c r="R631" i="1"/>
  <c r="N631" i="1"/>
  <c r="T630" i="1"/>
  <c r="S630" i="1"/>
  <c r="R630" i="1"/>
  <c r="N630" i="1"/>
  <c r="T629" i="1"/>
  <c r="S629" i="1"/>
  <c r="R629" i="1"/>
  <c r="N629" i="1"/>
  <c r="T628" i="1"/>
  <c r="S628" i="1"/>
  <c r="R628" i="1"/>
  <c r="N628" i="1"/>
  <c r="T627" i="1"/>
  <c r="S627" i="1"/>
  <c r="R627" i="1"/>
  <c r="N627" i="1"/>
  <c r="T626" i="1"/>
  <c r="S626" i="1"/>
  <c r="R626" i="1"/>
  <c r="N626" i="1"/>
  <c r="T625" i="1"/>
  <c r="S625" i="1"/>
  <c r="R625" i="1"/>
  <c r="N625" i="1"/>
  <c r="T624" i="1"/>
  <c r="S624" i="1"/>
  <c r="R624" i="1"/>
  <c r="N624" i="1"/>
  <c r="T623" i="1"/>
  <c r="S623" i="1"/>
  <c r="R623" i="1"/>
  <c r="N623" i="1"/>
  <c r="T622" i="1"/>
  <c r="S622" i="1"/>
  <c r="R622" i="1"/>
  <c r="N622" i="1"/>
  <c r="T621" i="1"/>
  <c r="S621" i="1"/>
  <c r="R621" i="1"/>
  <c r="N621" i="1"/>
  <c r="T620" i="1"/>
  <c r="S620" i="1"/>
  <c r="R620" i="1"/>
  <c r="N620" i="1"/>
  <c r="T619" i="1"/>
  <c r="S619" i="1"/>
  <c r="R619" i="1"/>
  <c r="N619" i="1"/>
  <c r="T618" i="1"/>
  <c r="S618" i="1"/>
  <c r="R618" i="1"/>
  <c r="N618" i="1"/>
  <c r="T617" i="1"/>
  <c r="S617" i="1"/>
  <c r="R617" i="1"/>
  <c r="N617" i="1"/>
  <c r="T616" i="1"/>
  <c r="S616" i="1"/>
  <c r="R616" i="1"/>
  <c r="N616" i="1"/>
  <c r="T615" i="1"/>
  <c r="S615" i="1"/>
  <c r="R615" i="1"/>
  <c r="N615" i="1"/>
  <c r="T614" i="1"/>
  <c r="S614" i="1"/>
  <c r="R614" i="1"/>
  <c r="N614" i="1"/>
  <c r="T613" i="1"/>
  <c r="S613" i="1"/>
  <c r="R613" i="1"/>
  <c r="N613" i="1"/>
  <c r="T612" i="1"/>
  <c r="S612" i="1"/>
  <c r="R612" i="1"/>
  <c r="N612" i="1"/>
  <c r="T611" i="1"/>
  <c r="S611" i="1"/>
  <c r="R611" i="1"/>
  <c r="N611" i="1"/>
  <c r="T610" i="1"/>
  <c r="S610" i="1"/>
  <c r="R610" i="1"/>
  <c r="N610" i="1"/>
  <c r="T609" i="1"/>
  <c r="S609" i="1"/>
  <c r="R609" i="1"/>
  <c r="N609" i="1"/>
  <c r="T608" i="1"/>
  <c r="S608" i="1"/>
  <c r="R608" i="1"/>
  <c r="N608" i="1"/>
  <c r="T607" i="1"/>
  <c r="S607" i="1"/>
  <c r="R607" i="1"/>
  <c r="N607" i="1"/>
  <c r="T606" i="1"/>
  <c r="S606" i="1"/>
  <c r="R606" i="1"/>
  <c r="N606" i="1"/>
  <c r="T605" i="1"/>
  <c r="S605" i="1"/>
  <c r="R605" i="1"/>
  <c r="N605" i="1"/>
  <c r="T604" i="1"/>
  <c r="S604" i="1"/>
  <c r="R604" i="1"/>
  <c r="N604" i="1"/>
  <c r="T603" i="1"/>
  <c r="S603" i="1"/>
  <c r="R603" i="1"/>
  <c r="N603" i="1"/>
  <c r="T602" i="1"/>
  <c r="S602" i="1"/>
  <c r="R602" i="1"/>
  <c r="N602" i="1"/>
  <c r="T601" i="1"/>
  <c r="S601" i="1"/>
  <c r="R601" i="1"/>
  <c r="N601" i="1"/>
  <c r="T600" i="1"/>
  <c r="S600" i="1"/>
  <c r="R600" i="1"/>
  <c r="N600" i="1"/>
  <c r="T599" i="1"/>
  <c r="S599" i="1"/>
  <c r="R599" i="1"/>
  <c r="N599" i="1"/>
  <c r="T598" i="1"/>
  <c r="S598" i="1"/>
  <c r="R598" i="1"/>
  <c r="N598" i="1"/>
  <c r="T597" i="1"/>
  <c r="S597" i="1"/>
  <c r="R597" i="1"/>
  <c r="N597" i="1"/>
  <c r="T596" i="1"/>
  <c r="S596" i="1"/>
  <c r="R596" i="1"/>
  <c r="N596" i="1"/>
  <c r="T595" i="1"/>
  <c r="S595" i="1"/>
  <c r="R595" i="1"/>
  <c r="N595" i="1"/>
  <c r="T594" i="1"/>
  <c r="S594" i="1"/>
  <c r="R594" i="1"/>
  <c r="N594" i="1"/>
  <c r="T593" i="1"/>
  <c r="S593" i="1"/>
  <c r="R593" i="1"/>
  <c r="N593" i="1"/>
  <c r="T592" i="1"/>
  <c r="S592" i="1"/>
  <c r="R592" i="1"/>
  <c r="N592" i="1"/>
  <c r="T591" i="1"/>
  <c r="S591" i="1"/>
  <c r="R591" i="1"/>
  <c r="N591" i="1"/>
  <c r="T590" i="1"/>
  <c r="S590" i="1"/>
  <c r="R590" i="1"/>
  <c r="N590" i="1"/>
  <c r="T589" i="1"/>
  <c r="S589" i="1"/>
  <c r="R589" i="1"/>
  <c r="N589" i="1"/>
  <c r="T588" i="1"/>
  <c r="S588" i="1"/>
  <c r="R588" i="1"/>
  <c r="N588" i="1"/>
  <c r="T587" i="1"/>
  <c r="S587" i="1"/>
  <c r="R587" i="1"/>
  <c r="N587" i="1"/>
  <c r="T586" i="1"/>
  <c r="S586" i="1"/>
  <c r="R586" i="1"/>
  <c r="N586" i="1"/>
  <c r="T585" i="1"/>
  <c r="S585" i="1"/>
  <c r="R585" i="1"/>
  <c r="N585" i="1"/>
  <c r="T584" i="1"/>
  <c r="S584" i="1"/>
  <c r="R584" i="1"/>
  <c r="N584" i="1"/>
  <c r="T583" i="1"/>
  <c r="S583" i="1"/>
  <c r="R583" i="1"/>
  <c r="N583" i="1"/>
  <c r="T582" i="1"/>
  <c r="S582" i="1"/>
  <c r="R582" i="1"/>
  <c r="N582" i="1"/>
  <c r="T581" i="1"/>
  <c r="S581" i="1"/>
  <c r="R581" i="1"/>
  <c r="N581" i="1"/>
  <c r="T580" i="1"/>
  <c r="S580" i="1"/>
  <c r="R580" i="1"/>
  <c r="N580" i="1"/>
  <c r="T579" i="1"/>
  <c r="S579" i="1"/>
  <c r="R579" i="1"/>
  <c r="N579" i="1"/>
  <c r="T578" i="1"/>
  <c r="S578" i="1"/>
  <c r="R578" i="1"/>
  <c r="N578" i="1"/>
  <c r="T577" i="1"/>
  <c r="S577" i="1"/>
  <c r="R577" i="1"/>
  <c r="N577" i="1"/>
  <c r="T576" i="1"/>
  <c r="S576" i="1"/>
  <c r="R576" i="1"/>
  <c r="N576" i="1"/>
  <c r="T575" i="1"/>
  <c r="S575" i="1"/>
  <c r="R575" i="1"/>
  <c r="N575" i="1"/>
  <c r="T574" i="1"/>
  <c r="S574" i="1"/>
  <c r="R574" i="1"/>
  <c r="N574" i="1"/>
  <c r="T573" i="1"/>
  <c r="S573" i="1"/>
  <c r="R573" i="1"/>
  <c r="N573" i="1"/>
  <c r="T572" i="1"/>
  <c r="S572" i="1"/>
  <c r="R572" i="1"/>
  <c r="N572" i="1"/>
  <c r="T571" i="1"/>
  <c r="S571" i="1"/>
  <c r="R571" i="1"/>
  <c r="N571" i="1"/>
  <c r="T570" i="1"/>
  <c r="S570" i="1"/>
  <c r="R570" i="1"/>
  <c r="N570" i="1"/>
  <c r="T569" i="1"/>
  <c r="S569" i="1"/>
  <c r="R569" i="1"/>
  <c r="N569" i="1"/>
  <c r="T568" i="1"/>
  <c r="S568" i="1"/>
  <c r="R568" i="1"/>
  <c r="N568" i="1"/>
  <c r="T567" i="1"/>
  <c r="S567" i="1"/>
  <c r="R567" i="1"/>
  <c r="N567" i="1"/>
  <c r="T566" i="1"/>
  <c r="S566" i="1"/>
  <c r="R566" i="1"/>
  <c r="N566" i="1"/>
  <c r="T565" i="1"/>
  <c r="S565" i="1"/>
  <c r="R565" i="1"/>
  <c r="N565" i="1"/>
  <c r="T564" i="1"/>
  <c r="S564" i="1"/>
  <c r="R564" i="1"/>
  <c r="N564" i="1"/>
  <c r="T563" i="1"/>
  <c r="S563" i="1"/>
  <c r="R563" i="1"/>
  <c r="N563" i="1"/>
  <c r="T562" i="1"/>
  <c r="S562" i="1"/>
  <c r="R562" i="1"/>
  <c r="N562" i="1"/>
  <c r="T561" i="1"/>
  <c r="S561" i="1"/>
  <c r="R561" i="1"/>
  <c r="N561" i="1"/>
  <c r="T560" i="1"/>
  <c r="S560" i="1"/>
  <c r="R560" i="1"/>
  <c r="N560" i="1"/>
  <c r="T559" i="1"/>
  <c r="S559" i="1"/>
  <c r="R559" i="1"/>
  <c r="N559" i="1"/>
  <c r="T558" i="1"/>
  <c r="S558" i="1"/>
  <c r="R558" i="1"/>
  <c r="N558" i="1"/>
  <c r="T557" i="1"/>
  <c r="S557" i="1"/>
  <c r="R557" i="1"/>
  <c r="N557" i="1"/>
  <c r="T556" i="1"/>
  <c r="S556" i="1"/>
  <c r="R556" i="1"/>
  <c r="N556" i="1"/>
  <c r="T555" i="1"/>
  <c r="S555" i="1"/>
  <c r="R555" i="1"/>
  <c r="N555" i="1"/>
  <c r="T554" i="1"/>
  <c r="S554" i="1"/>
  <c r="R554" i="1"/>
  <c r="N554" i="1"/>
  <c r="T553" i="1"/>
  <c r="S553" i="1"/>
  <c r="R553" i="1"/>
  <c r="N553" i="1"/>
  <c r="T552" i="1"/>
  <c r="S552" i="1"/>
  <c r="R552" i="1"/>
  <c r="N552" i="1"/>
  <c r="T551" i="1"/>
  <c r="S551" i="1"/>
  <c r="R551" i="1"/>
  <c r="N551" i="1"/>
  <c r="T550" i="1"/>
  <c r="S550" i="1"/>
  <c r="R550" i="1"/>
  <c r="N550" i="1"/>
  <c r="T549" i="1"/>
  <c r="S549" i="1"/>
  <c r="R549" i="1"/>
  <c r="N549" i="1"/>
  <c r="T548" i="1"/>
  <c r="S548" i="1"/>
  <c r="R548" i="1"/>
  <c r="N548" i="1"/>
  <c r="T547" i="1"/>
  <c r="S547" i="1"/>
  <c r="R547" i="1"/>
  <c r="N547" i="1"/>
  <c r="T546" i="1"/>
  <c r="S546" i="1"/>
  <c r="R546" i="1"/>
  <c r="N546" i="1"/>
  <c r="T545" i="1"/>
  <c r="S545" i="1"/>
  <c r="R545" i="1"/>
  <c r="N545" i="1"/>
  <c r="T544" i="1"/>
  <c r="S544" i="1"/>
  <c r="R544" i="1"/>
  <c r="N544" i="1"/>
  <c r="T543" i="1"/>
  <c r="S543" i="1"/>
  <c r="R543" i="1"/>
  <c r="N543" i="1"/>
  <c r="T542" i="1"/>
  <c r="S542" i="1"/>
  <c r="R542" i="1"/>
  <c r="N542" i="1"/>
  <c r="T541" i="1"/>
  <c r="S541" i="1"/>
  <c r="R541" i="1"/>
  <c r="N541" i="1"/>
  <c r="T540" i="1"/>
  <c r="S540" i="1"/>
  <c r="R540" i="1"/>
  <c r="N540" i="1"/>
  <c r="T539" i="1"/>
  <c r="S539" i="1"/>
  <c r="R539" i="1"/>
  <c r="N539" i="1"/>
  <c r="T538" i="1"/>
  <c r="S538" i="1"/>
  <c r="R538" i="1"/>
  <c r="N538" i="1"/>
  <c r="T537" i="1"/>
  <c r="S537" i="1"/>
  <c r="R537" i="1"/>
  <c r="N537" i="1"/>
  <c r="T536" i="1"/>
  <c r="S536" i="1"/>
  <c r="R536" i="1"/>
  <c r="N536" i="1"/>
  <c r="T535" i="1"/>
  <c r="S535" i="1"/>
  <c r="R535" i="1"/>
  <c r="N535" i="1"/>
  <c r="T534" i="1"/>
  <c r="S534" i="1"/>
  <c r="R534" i="1"/>
  <c r="N534" i="1"/>
  <c r="T533" i="1"/>
  <c r="S533" i="1"/>
  <c r="R533" i="1"/>
  <c r="N533" i="1"/>
  <c r="T532" i="1"/>
  <c r="S532" i="1"/>
  <c r="R532" i="1"/>
  <c r="N532" i="1"/>
  <c r="T531" i="1"/>
  <c r="S531" i="1"/>
  <c r="R531" i="1"/>
  <c r="N531" i="1"/>
  <c r="T530" i="1"/>
  <c r="S530" i="1"/>
  <c r="R530" i="1"/>
  <c r="N530" i="1"/>
  <c r="T529" i="1"/>
  <c r="S529" i="1"/>
  <c r="R529" i="1"/>
  <c r="N529" i="1"/>
  <c r="T528" i="1"/>
  <c r="S528" i="1"/>
  <c r="R528" i="1"/>
  <c r="N528" i="1"/>
  <c r="T527" i="1"/>
  <c r="S527" i="1"/>
  <c r="R527" i="1"/>
  <c r="N527" i="1"/>
  <c r="T526" i="1"/>
  <c r="S526" i="1"/>
  <c r="R526" i="1"/>
  <c r="N526" i="1"/>
  <c r="T525" i="1"/>
  <c r="S525" i="1"/>
  <c r="R525" i="1"/>
  <c r="N525" i="1"/>
  <c r="T524" i="1"/>
  <c r="S524" i="1"/>
  <c r="R524" i="1"/>
  <c r="N524" i="1"/>
  <c r="T523" i="1"/>
  <c r="S523" i="1"/>
  <c r="R523" i="1"/>
  <c r="N523" i="1"/>
  <c r="T522" i="1"/>
  <c r="S522" i="1"/>
  <c r="R522" i="1"/>
  <c r="N522" i="1"/>
  <c r="T521" i="1"/>
  <c r="S521" i="1"/>
  <c r="R521" i="1"/>
  <c r="N521" i="1"/>
  <c r="T520" i="1"/>
  <c r="S520" i="1"/>
  <c r="R520" i="1"/>
  <c r="N520" i="1"/>
  <c r="T519" i="1"/>
  <c r="S519" i="1"/>
  <c r="R519" i="1"/>
  <c r="N519" i="1"/>
  <c r="T518" i="1"/>
  <c r="S518" i="1"/>
  <c r="R518" i="1"/>
  <c r="N518" i="1"/>
  <c r="T517" i="1"/>
  <c r="S517" i="1"/>
  <c r="R517" i="1"/>
  <c r="N517" i="1"/>
  <c r="T516" i="1"/>
  <c r="S516" i="1"/>
  <c r="R516" i="1"/>
  <c r="N516" i="1"/>
  <c r="T515" i="1"/>
  <c r="S515" i="1"/>
  <c r="R515" i="1"/>
  <c r="N515" i="1"/>
  <c r="T514" i="1"/>
  <c r="S514" i="1"/>
  <c r="R514" i="1"/>
  <c r="N514" i="1"/>
  <c r="T513" i="1"/>
  <c r="S513" i="1"/>
  <c r="R513" i="1"/>
  <c r="N513" i="1"/>
  <c r="T512" i="1"/>
  <c r="S512" i="1"/>
  <c r="R512" i="1"/>
  <c r="N512" i="1"/>
  <c r="T511" i="1"/>
  <c r="S511" i="1"/>
  <c r="R511" i="1"/>
  <c r="N511" i="1"/>
  <c r="T510" i="1"/>
  <c r="S510" i="1"/>
  <c r="R510" i="1"/>
  <c r="N510" i="1"/>
  <c r="T509" i="1"/>
  <c r="S509" i="1"/>
  <c r="R509" i="1"/>
  <c r="N509" i="1"/>
  <c r="T508" i="1"/>
  <c r="S508" i="1"/>
  <c r="R508" i="1"/>
  <c r="N508" i="1"/>
  <c r="T507" i="1"/>
  <c r="S507" i="1"/>
  <c r="R507" i="1"/>
  <c r="N507" i="1"/>
  <c r="T506" i="1"/>
  <c r="S506" i="1"/>
  <c r="R506" i="1"/>
  <c r="N506" i="1"/>
  <c r="T505" i="1"/>
  <c r="S505" i="1"/>
  <c r="R505" i="1"/>
  <c r="N505" i="1"/>
  <c r="T504" i="1"/>
  <c r="S504" i="1"/>
  <c r="R504" i="1"/>
  <c r="N504" i="1"/>
  <c r="T503" i="1"/>
  <c r="S503" i="1"/>
  <c r="R503" i="1"/>
  <c r="N503" i="1"/>
  <c r="T502" i="1"/>
  <c r="S502" i="1"/>
  <c r="R502" i="1"/>
  <c r="N502" i="1"/>
  <c r="T501" i="1"/>
  <c r="S501" i="1"/>
  <c r="R501" i="1"/>
  <c r="N501" i="1"/>
  <c r="T500" i="1"/>
  <c r="S500" i="1"/>
  <c r="R500" i="1"/>
  <c r="N500" i="1"/>
  <c r="T499" i="1"/>
  <c r="S499" i="1"/>
  <c r="R499" i="1"/>
  <c r="N499" i="1"/>
  <c r="T498" i="1"/>
  <c r="S498" i="1"/>
  <c r="R498" i="1"/>
  <c r="N498" i="1"/>
  <c r="T497" i="1"/>
  <c r="S497" i="1"/>
  <c r="R497" i="1"/>
  <c r="N497" i="1"/>
  <c r="T496" i="1"/>
  <c r="S496" i="1"/>
  <c r="R496" i="1"/>
  <c r="N496" i="1"/>
  <c r="T495" i="1"/>
  <c r="S495" i="1"/>
  <c r="R495" i="1"/>
  <c r="N495" i="1"/>
  <c r="T494" i="1"/>
  <c r="S494" i="1"/>
  <c r="R494" i="1"/>
  <c r="N494" i="1"/>
  <c r="T493" i="1"/>
  <c r="S493" i="1"/>
  <c r="R493" i="1"/>
  <c r="N493" i="1"/>
  <c r="T492" i="1"/>
  <c r="S492" i="1"/>
  <c r="R492" i="1"/>
  <c r="N492" i="1"/>
  <c r="T491" i="1"/>
  <c r="S491" i="1"/>
  <c r="R491" i="1"/>
  <c r="N491" i="1"/>
  <c r="T490" i="1"/>
  <c r="S490" i="1"/>
  <c r="R490" i="1"/>
  <c r="N490" i="1"/>
  <c r="T489" i="1"/>
  <c r="S489" i="1"/>
  <c r="R489" i="1"/>
  <c r="N489" i="1"/>
  <c r="T488" i="1"/>
  <c r="S488" i="1"/>
  <c r="R488" i="1"/>
  <c r="N488" i="1"/>
  <c r="T487" i="1"/>
  <c r="S487" i="1"/>
  <c r="R487" i="1"/>
  <c r="N487" i="1"/>
  <c r="T486" i="1"/>
  <c r="S486" i="1"/>
  <c r="R486" i="1"/>
  <c r="N486" i="1"/>
  <c r="T485" i="1"/>
  <c r="S485" i="1"/>
  <c r="R485" i="1"/>
  <c r="N485" i="1"/>
  <c r="T484" i="1"/>
  <c r="S484" i="1"/>
  <c r="R484" i="1"/>
  <c r="N484" i="1"/>
  <c r="T483" i="1"/>
  <c r="S483" i="1"/>
  <c r="R483" i="1"/>
  <c r="N483" i="1"/>
  <c r="T482" i="1"/>
  <c r="S482" i="1"/>
  <c r="R482" i="1"/>
  <c r="N482" i="1"/>
  <c r="T481" i="1"/>
  <c r="S481" i="1"/>
  <c r="R481" i="1"/>
  <c r="N481" i="1"/>
  <c r="T480" i="1"/>
  <c r="S480" i="1"/>
  <c r="R480" i="1"/>
  <c r="N480" i="1"/>
  <c r="T479" i="1"/>
  <c r="S479" i="1"/>
  <c r="R479" i="1"/>
  <c r="N479" i="1"/>
  <c r="T478" i="1"/>
  <c r="S478" i="1"/>
  <c r="R478" i="1"/>
  <c r="N478" i="1"/>
  <c r="T477" i="1"/>
  <c r="S477" i="1"/>
  <c r="R477" i="1"/>
  <c r="N477" i="1"/>
  <c r="T476" i="1"/>
  <c r="S476" i="1"/>
  <c r="R476" i="1"/>
  <c r="N476" i="1"/>
  <c r="T475" i="1"/>
  <c r="S475" i="1"/>
  <c r="R475" i="1"/>
  <c r="T474" i="1"/>
  <c r="S474" i="1"/>
  <c r="R474" i="1"/>
  <c r="N474" i="1"/>
  <c r="T473" i="1"/>
  <c r="S473" i="1"/>
  <c r="R473" i="1"/>
  <c r="N473" i="1"/>
  <c r="T472" i="1"/>
  <c r="S472" i="1"/>
  <c r="R472" i="1"/>
  <c r="N472" i="1"/>
  <c r="T471" i="1"/>
  <c r="S471" i="1"/>
  <c r="R471" i="1"/>
  <c r="N471" i="1"/>
  <c r="T470" i="1"/>
  <c r="S470" i="1"/>
  <c r="R470" i="1"/>
  <c r="N470" i="1"/>
  <c r="T469" i="1"/>
  <c r="S469" i="1"/>
  <c r="R469" i="1"/>
  <c r="N469" i="1"/>
  <c r="T468" i="1"/>
  <c r="S468" i="1"/>
  <c r="R468" i="1"/>
  <c r="N468" i="1"/>
  <c r="T467" i="1"/>
  <c r="S467" i="1"/>
  <c r="R467" i="1"/>
  <c r="N467" i="1"/>
  <c r="T466" i="1"/>
  <c r="S466" i="1"/>
  <c r="R466" i="1"/>
  <c r="N466" i="1"/>
  <c r="T465" i="1"/>
  <c r="S465" i="1"/>
  <c r="R465" i="1"/>
  <c r="N465" i="1"/>
  <c r="T464" i="1"/>
  <c r="S464" i="1"/>
  <c r="R464" i="1"/>
  <c r="N464" i="1"/>
  <c r="T463" i="1"/>
  <c r="S463" i="1"/>
  <c r="R463" i="1"/>
  <c r="N463" i="1"/>
  <c r="T462" i="1"/>
  <c r="S462" i="1"/>
  <c r="R462" i="1"/>
  <c r="N462" i="1"/>
  <c r="T461" i="1"/>
  <c r="S461" i="1"/>
  <c r="R461" i="1"/>
  <c r="N461" i="1"/>
  <c r="T460" i="1"/>
  <c r="S460" i="1"/>
  <c r="R460" i="1"/>
  <c r="N460" i="1"/>
  <c r="T459" i="1"/>
  <c r="S459" i="1"/>
  <c r="R459" i="1"/>
  <c r="N459" i="1"/>
  <c r="T458" i="1"/>
  <c r="S458" i="1"/>
  <c r="R458" i="1"/>
  <c r="N458" i="1"/>
  <c r="T457" i="1"/>
  <c r="S457" i="1"/>
  <c r="R457" i="1"/>
  <c r="N457" i="1"/>
  <c r="T456" i="1"/>
  <c r="S456" i="1"/>
  <c r="R456" i="1"/>
  <c r="N456" i="1"/>
  <c r="T455" i="1"/>
  <c r="S455" i="1"/>
  <c r="R455" i="1"/>
  <c r="N455" i="1"/>
  <c r="T454" i="1"/>
  <c r="S454" i="1"/>
  <c r="R454" i="1"/>
  <c r="N454" i="1"/>
  <c r="T453" i="1"/>
  <c r="S453" i="1"/>
  <c r="R453" i="1"/>
  <c r="N453" i="1"/>
  <c r="T452" i="1"/>
  <c r="S452" i="1"/>
  <c r="R452" i="1"/>
  <c r="N452" i="1"/>
  <c r="T451" i="1"/>
  <c r="S451" i="1"/>
  <c r="R451" i="1"/>
  <c r="N451" i="1"/>
  <c r="T450" i="1"/>
  <c r="S450" i="1"/>
  <c r="R450" i="1"/>
  <c r="N450" i="1"/>
  <c r="T449" i="1"/>
  <c r="S449" i="1"/>
  <c r="R449" i="1"/>
  <c r="N449" i="1"/>
  <c r="T448" i="1"/>
  <c r="S448" i="1"/>
  <c r="R448" i="1"/>
  <c r="N448" i="1"/>
  <c r="T447" i="1"/>
  <c r="S447" i="1"/>
  <c r="R447" i="1"/>
  <c r="N447" i="1"/>
  <c r="T446" i="1"/>
  <c r="S446" i="1"/>
  <c r="R446" i="1"/>
  <c r="N446" i="1"/>
  <c r="T445" i="1"/>
  <c r="S445" i="1"/>
  <c r="R445" i="1"/>
  <c r="N445" i="1"/>
  <c r="T444" i="1"/>
  <c r="S444" i="1"/>
  <c r="R444" i="1"/>
  <c r="N444" i="1"/>
  <c r="T443" i="1"/>
  <c r="S443" i="1"/>
  <c r="R443" i="1"/>
  <c r="N443" i="1"/>
  <c r="T442" i="1"/>
  <c r="S442" i="1"/>
  <c r="R442" i="1"/>
  <c r="N442" i="1"/>
  <c r="T441" i="1"/>
  <c r="S441" i="1"/>
  <c r="R441" i="1"/>
  <c r="N441" i="1"/>
  <c r="T440" i="1"/>
  <c r="S440" i="1"/>
  <c r="R440" i="1"/>
  <c r="N440" i="1"/>
  <c r="T439" i="1"/>
  <c r="S439" i="1"/>
  <c r="R439" i="1"/>
  <c r="N439" i="1"/>
  <c r="T438" i="1"/>
  <c r="S438" i="1"/>
  <c r="R438" i="1"/>
  <c r="N438" i="1"/>
  <c r="T437" i="1"/>
  <c r="S437" i="1"/>
  <c r="R437" i="1"/>
  <c r="N437" i="1"/>
  <c r="T436" i="1"/>
  <c r="S436" i="1"/>
  <c r="R436" i="1"/>
  <c r="N436" i="1"/>
  <c r="T435" i="1"/>
  <c r="S435" i="1"/>
  <c r="R435" i="1"/>
  <c r="N435" i="1"/>
  <c r="T434" i="1"/>
  <c r="S434" i="1"/>
  <c r="R434" i="1"/>
  <c r="N434" i="1"/>
  <c r="T433" i="1"/>
  <c r="S433" i="1"/>
  <c r="R433" i="1"/>
  <c r="N433" i="1"/>
  <c r="T432" i="1"/>
  <c r="S432" i="1"/>
  <c r="R432" i="1"/>
  <c r="N432" i="1"/>
  <c r="T431" i="1"/>
  <c r="S431" i="1"/>
  <c r="R431" i="1"/>
  <c r="N431" i="1"/>
  <c r="T430" i="1"/>
  <c r="S430" i="1"/>
  <c r="R430" i="1"/>
  <c r="N430" i="1"/>
  <c r="T429" i="1"/>
  <c r="S429" i="1"/>
  <c r="R429" i="1"/>
  <c r="N429" i="1"/>
  <c r="T428" i="1"/>
  <c r="S428" i="1"/>
  <c r="R428" i="1"/>
  <c r="N428" i="1"/>
  <c r="T427" i="1"/>
  <c r="S427" i="1"/>
  <c r="R427" i="1"/>
  <c r="N427" i="1"/>
  <c r="T426" i="1"/>
  <c r="S426" i="1"/>
  <c r="R426" i="1"/>
  <c r="N426" i="1"/>
  <c r="T425" i="1"/>
  <c r="S425" i="1"/>
  <c r="R425" i="1"/>
  <c r="N425" i="1"/>
  <c r="T424" i="1"/>
  <c r="S424" i="1"/>
  <c r="R424" i="1"/>
  <c r="N424" i="1"/>
  <c r="T423" i="1"/>
  <c r="S423" i="1"/>
  <c r="R423" i="1"/>
  <c r="N423" i="1"/>
  <c r="T422" i="1"/>
  <c r="S422" i="1"/>
  <c r="R422" i="1"/>
  <c r="N422" i="1"/>
  <c r="T421" i="1"/>
  <c r="S421" i="1"/>
  <c r="R421" i="1"/>
  <c r="N421" i="1"/>
  <c r="T420" i="1"/>
  <c r="S420" i="1"/>
  <c r="R420" i="1"/>
  <c r="N420" i="1"/>
  <c r="T419" i="1"/>
  <c r="S419" i="1"/>
  <c r="R419" i="1"/>
  <c r="N419" i="1"/>
  <c r="T418" i="1"/>
  <c r="S418" i="1"/>
  <c r="R418" i="1"/>
  <c r="N418" i="1"/>
  <c r="T417" i="1"/>
  <c r="S417" i="1"/>
  <c r="R417" i="1"/>
  <c r="N417" i="1"/>
  <c r="T416" i="1"/>
  <c r="S416" i="1"/>
  <c r="R416" i="1"/>
  <c r="N416" i="1"/>
  <c r="T415" i="1"/>
  <c r="S415" i="1"/>
  <c r="R415" i="1"/>
  <c r="N415" i="1"/>
  <c r="T414" i="1"/>
  <c r="S414" i="1"/>
  <c r="R414" i="1"/>
  <c r="N414" i="1"/>
  <c r="T413" i="1"/>
  <c r="S413" i="1"/>
  <c r="R413" i="1"/>
  <c r="N413" i="1"/>
  <c r="T412" i="1"/>
  <c r="S412" i="1"/>
  <c r="R412" i="1"/>
  <c r="N412" i="1"/>
  <c r="T411" i="1"/>
  <c r="S411" i="1"/>
  <c r="R411" i="1"/>
  <c r="N411" i="1"/>
  <c r="T410" i="1"/>
  <c r="S410" i="1"/>
  <c r="R410" i="1"/>
  <c r="N410" i="1"/>
  <c r="T409" i="1"/>
  <c r="S409" i="1"/>
  <c r="R409" i="1"/>
  <c r="N409" i="1"/>
  <c r="T408" i="1"/>
  <c r="S408" i="1"/>
  <c r="R408" i="1"/>
  <c r="N408" i="1"/>
  <c r="T407" i="1"/>
  <c r="S407" i="1"/>
  <c r="R407" i="1"/>
  <c r="N407" i="1"/>
  <c r="T406" i="1"/>
  <c r="S406" i="1"/>
  <c r="R406" i="1"/>
  <c r="N406" i="1"/>
  <c r="T405" i="1"/>
  <c r="S405" i="1"/>
  <c r="R405" i="1"/>
  <c r="N405" i="1"/>
  <c r="T404" i="1"/>
  <c r="S404" i="1"/>
  <c r="R404" i="1"/>
  <c r="N404" i="1"/>
  <c r="T403" i="1"/>
  <c r="S403" i="1"/>
  <c r="R403" i="1"/>
  <c r="N403" i="1"/>
  <c r="T402" i="1"/>
  <c r="S402" i="1"/>
  <c r="R402" i="1"/>
  <c r="N402" i="1"/>
  <c r="T401" i="1"/>
  <c r="S401" i="1"/>
  <c r="R401" i="1"/>
  <c r="N401" i="1"/>
  <c r="T400" i="1"/>
  <c r="S400" i="1"/>
  <c r="R400" i="1"/>
  <c r="N400" i="1"/>
  <c r="T399" i="1"/>
  <c r="S399" i="1"/>
  <c r="R399" i="1"/>
  <c r="N399" i="1"/>
  <c r="T398" i="1"/>
  <c r="S398" i="1"/>
  <c r="R398" i="1"/>
  <c r="N398" i="1"/>
  <c r="T397" i="1"/>
  <c r="S397" i="1"/>
  <c r="R397" i="1"/>
  <c r="N397" i="1"/>
  <c r="T396" i="1"/>
  <c r="S396" i="1"/>
  <c r="R396" i="1"/>
  <c r="N396" i="1"/>
  <c r="T395" i="1"/>
  <c r="S395" i="1"/>
  <c r="R395" i="1"/>
  <c r="N395" i="1"/>
  <c r="T394" i="1"/>
  <c r="S394" i="1"/>
  <c r="R394" i="1"/>
  <c r="N394" i="1"/>
  <c r="T393" i="1"/>
  <c r="S393" i="1"/>
  <c r="R393" i="1"/>
  <c r="N393" i="1"/>
  <c r="T392" i="1"/>
  <c r="S392" i="1"/>
  <c r="R392" i="1"/>
  <c r="N392" i="1"/>
  <c r="T391" i="1"/>
  <c r="S391" i="1"/>
  <c r="R391" i="1"/>
  <c r="N391" i="1"/>
  <c r="T390" i="1"/>
  <c r="S390" i="1"/>
  <c r="R390" i="1"/>
  <c r="N390" i="1"/>
  <c r="T389" i="1"/>
  <c r="S389" i="1"/>
  <c r="R389" i="1"/>
  <c r="N389" i="1"/>
  <c r="T388" i="1"/>
  <c r="S388" i="1"/>
  <c r="R388" i="1"/>
  <c r="N388" i="1"/>
  <c r="T387" i="1"/>
  <c r="S387" i="1"/>
  <c r="R387" i="1"/>
  <c r="N387" i="1"/>
  <c r="T386" i="1"/>
  <c r="S386" i="1"/>
  <c r="R386" i="1"/>
  <c r="N386" i="1"/>
  <c r="T385" i="1"/>
  <c r="S385" i="1"/>
  <c r="R385" i="1"/>
  <c r="N385" i="1"/>
  <c r="T384" i="1"/>
  <c r="S384" i="1"/>
  <c r="N384" i="1"/>
  <c r="T383" i="1"/>
  <c r="S383" i="1"/>
  <c r="R383" i="1"/>
  <c r="N383" i="1"/>
  <c r="T382" i="1"/>
  <c r="S382" i="1"/>
  <c r="R382" i="1"/>
  <c r="N382" i="1"/>
  <c r="T381" i="1"/>
  <c r="S381" i="1"/>
  <c r="R381" i="1"/>
  <c r="N381" i="1"/>
  <c r="T380" i="1"/>
  <c r="S380" i="1"/>
  <c r="R380" i="1"/>
  <c r="N380" i="1"/>
  <c r="T379" i="1"/>
  <c r="S379" i="1"/>
  <c r="R379" i="1"/>
  <c r="N379" i="1"/>
  <c r="T378" i="1"/>
  <c r="S378" i="1"/>
  <c r="R378" i="1"/>
  <c r="N378" i="1"/>
  <c r="T377" i="1"/>
  <c r="S377" i="1"/>
  <c r="R377" i="1"/>
  <c r="N377" i="1"/>
  <c r="T376" i="1"/>
  <c r="S376" i="1"/>
  <c r="R376" i="1"/>
  <c r="N376" i="1"/>
  <c r="T375" i="1"/>
  <c r="S375" i="1"/>
  <c r="R375" i="1"/>
  <c r="N375" i="1"/>
  <c r="T374" i="1"/>
  <c r="S374" i="1"/>
  <c r="R374" i="1"/>
  <c r="N374" i="1"/>
  <c r="T373" i="1"/>
  <c r="S373" i="1"/>
  <c r="R373" i="1"/>
  <c r="N373" i="1"/>
  <c r="T372" i="1"/>
  <c r="S372" i="1"/>
  <c r="R372" i="1"/>
  <c r="N372" i="1"/>
  <c r="T371" i="1"/>
  <c r="S371" i="1"/>
  <c r="R371" i="1"/>
  <c r="N371" i="1"/>
  <c r="T370" i="1"/>
  <c r="S370" i="1"/>
  <c r="R370" i="1"/>
  <c r="N370" i="1"/>
  <c r="T369" i="1"/>
  <c r="S369" i="1"/>
  <c r="R369" i="1"/>
  <c r="N369" i="1"/>
  <c r="T368" i="1"/>
  <c r="S368" i="1"/>
  <c r="R368" i="1"/>
  <c r="N368" i="1"/>
  <c r="T367" i="1"/>
  <c r="S367" i="1"/>
  <c r="R367" i="1"/>
  <c r="N367" i="1"/>
  <c r="T366" i="1"/>
  <c r="S366" i="1"/>
  <c r="R366" i="1"/>
  <c r="N366" i="1"/>
  <c r="T365" i="1"/>
  <c r="S365" i="1"/>
  <c r="R365" i="1"/>
  <c r="N365" i="1"/>
  <c r="T364" i="1"/>
  <c r="S364" i="1"/>
  <c r="R364" i="1"/>
  <c r="N364" i="1"/>
  <c r="T363" i="1"/>
  <c r="S363" i="1"/>
  <c r="R363" i="1"/>
  <c r="N363" i="1"/>
  <c r="T362" i="1"/>
  <c r="S362" i="1"/>
  <c r="R362" i="1"/>
  <c r="N362" i="1"/>
  <c r="T361" i="1"/>
  <c r="S361" i="1"/>
  <c r="R361" i="1"/>
  <c r="N361" i="1"/>
  <c r="T360" i="1"/>
  <c r="S360" i="1"/>
  <c r="R360" i="1"/>
  <c r="N360" i="1"/>
  <c r="T359" i="1"/>
  <c r="S359" i="1"/>
  <c r="R359" i="1"/>
  <c r="N359" i="1"/>
  <c r="T358" i="1"/>
  <c r="S358" i="1"/>
  <c r="R358" i="1"/>
  <c r="N358" i="1"/>
  <c r="T357" i="1"/>
  <c r="S357" i="1"/>
  <c r="R357" i="1"/>
  <c r="N357" i="1"/>
  <c r="T356" i="1"/>
  <c r="S356" i="1"/>
  <c r="R356" i="1"/>
  <c r="N356" i="1"/>
  <c r="T355" i="1"/>
  <c r="S355" i="1"/>
  <c r="R355" i="1"/>
  <c r="N355" i="1"/>
  <c r="T354" i="1"/>
  <c r="S354" i="1"/>
  <c r="R354" i="1"/>
  <c r="N354" i="1"/>
  <c r="T353" i="1"/>
  <c r="S353" i="1"/>
  <c r="R353" i="1"/>
  <c r="N353" i="1"/>
  <c r="T352" i="1"/>
  <c r="S352" i="1"/>
  <c r="R352" i="1"/>
  <c r="N352" i="1"/>
  <c r="T351" i="1"/>
  <c r="S351" i="1"/>
  <c r="R351" i="1"/>
  <c r="N351" i="1"/>
  <c r="T350" i="1"/>
  <c r="S350" i="1"/>
  <c r="R350" i="1"/>
  <c r="N350" i="1"/>
  <c r="T349" i="1"/>
  <c r="S349" i="1"/>
  <c r="R349" i="1"/>
  <c r="N349" i="1"/>
  <c r="T348" i="1"/>
  <c r="S348" i="1"/>
  <c r="R348" i="1"/>
  <c r="N348" i="1"/>
  <c r="T347" i="1"/>
  <c r="S347" i="1"/>
  <c r="R347" i="1"/>
  <c r="N347" i="1"/>
  <c r="T346" i="1"/>
  <c r="S346" i="1"/>
  <c r="R346" i="1"/>
  <c r="N346" i="1"/>
  <c r="T345" i="1"/>
  <c r="S345" i="1"/>
  <c r="R345" i="1"/>
  <c r="N345" i="1"/>
  <c r="T344" i="1"/>
  <c r="S344" i="1"/>
  <c r="R344" i="1"/>
  <c r="N344" i="1"/>
  <c r="T343" i="1"/>
  <c r="S343" i="1"/>
  <c r="R343" i="1"/>
  <c r="N343" i="1"/>
  <c r="T342" i="1"/>
  <c r="S342" i="1"/>
  <c r="R342" i="1"/>
  <c r="N342" i="1"/>
  <c r="T341" i="1"/>
  <c r="S341" i="1"/>
  <c r="R341" i="1"/>
  <c r="N341" i="1"/>
  <c r="T340" i="1"/>
  <c r="S340" i="1"/>
  <c r="R340" i="1"/>
  <c r="N340" i="1"/>
  <c r="T339" i="1"/>
  <c r="S339" i="1"/>
  <c r="R339" i="1"/>
  <c r="N339" i="1"/>
  <c r="T338" i="1"/>
  <c r="S338" i="1"/>
  <c r="R338" i="1"/>
  <c r="N338" i="1"/>
  <c r="T337" i="1"/>
  <c r="S337" i="1"/>
  <c r="R337" i="1"/>
  <c r="N337" i="1"/>
  <c r="T336" i="1"/>
  <c r="S336" i="1"/>
  <c r="R336" i="1"/>
  <c r="N336" i="1"/>
  <c r="T335" i="1"/>
  <c r="S335" i="1"/>
  <c r="R335" i="1"/>
  <c r="N335" i="1"/>
  <c r="T334" i="1"/>
  <c r="S334" i="1"/>
  <c r="R334" i="1"/>
  <c r="N334" i="1"/>
  <c r="T333" i="1"/>
  <c r="S333" i="1"/>
  <c r="R333" i="1"/>
  <c r="N333" i="1"/>
  <c r="T332" i="1"/>
  <c r="S332" i="1"/>
  <c r="R332" i="1"/>
  <c r="N332" i="1"/>
  <c r="T331" i="1"/>
  <c r="S331" i="1"/>
  <c r="R331" i="1"/>
  <c r="N331" i="1"/>
  <c r="T330" i="1"/>
  <c r="S330" i="1"/>
  <c r="R330" i="1"/>
  <c r="N330" i="1"/>
  <c r="T329" i="1"/>
  <c r="S329" i="1"/>
  <c r="R329" i="1"/>
  <c r="N329" i="1"/>
  <c r="T328" i="1"/>
  <c r="S328" i="1"/>
  <c r="R328" i="1"/>
  <c r="N328" i="1"/>
  <c r="T327" i="1"/>
  <c r="S327" i="1"/>
  <c r="R327" i="1"/>
  <c r="N327" i="1"/>
  <c r="T326" i="1"/>
  <c r="S326" i="1"/>
  <c r="R326" i="1"/>
  <c r="N326" i="1"/>
  <c r="T325" i="1"/>
  <c r="S325" i="1"/>
  <c r="R325" i="1"/>
  <c r="N325" i="1"/>
  <c r="T324" i="1"/>
  <c r="S324" i="1"/>
  <c r="R324" i="1"/>
  <c r="N324" i="1"/>
  <c r="T323" i="1"/>
  <c r="S323" i="1"/>
  <c r="R323" i="1"/>
  <c r="N323" i="1"/>
  <c r="T322" i="1"/>
  <c r="S322" i="1"/>
  <c r="R322" i="1"/>
  <c r="N322" i="1"/>
  <c r="T321" i="1"/>
  <c r="S321" i="1"/>
  <c r="R321" i="1"/>
  <c r="N321" i="1"/>
  <c r="T320" i="1"/>
  <c r="S320" i="1"/>
  <c r="R320" i="1"/>
  <c r="N320" i="1"/>
  <c r="T319" i="1"/>
  <c r="S319" i="1"/>
  <c r="R319" i="1"/>
  <c r="N319" i="1"/>
  <c r="T318" i="1"/>
  <c r="S318" i="1"/>
  <c r="R318" i="1"/>
  <c r="N318" i="1"/>
  <c r="T317" i="1"/>
  <c r="S317" i="1"/>
  <c r="R317" i="1"/>
  <c r="N317" i="1"/>
  <c r="T316" i="1"/>
  <c r="S316" i="1"/>
  <c r="R316" i="1"/>
  <c r="N316" i="1"/>
  <c r="T315" i="1"/>
  <c r="S315" i="1"/>
  <c r="R315" i="1"/>
  <c r="N315" i="1"/>
  <c r="T314" i="1"/>
  <c r="S314" i="1"/>
  <c r="R314" i="1"/>
  <c r="N314" i="1"/>
  <c r="T313" i="1"/>
  <c r="S313" i="1"/>
  <c r="R313" i="1"/>
  <c r="N313" i="1"/>
  <c r="T312" i="1"/>
  <c r="S312" i="1"/>
  <c r="R312" i="1"/>
  <c r="N312" i="1"/>
  <c r="T311" i="1"/>
  <c r="S311" i="1"/>
  <c r="R311" i="1"/>
  <c r="N311" i="1"/>
  <c r="T310" i="1"/>
  <c r="S310" i="1"/>
  <c r="R310" i="1"/>
  <c r="N310" i="1"/>
  <c r="T309" i="1"/>
  <c r="S309" i="1"/>
  <c r="R309" i="1"/>
  <c r="N309" i="1"/>
  <c r="T308" i="1"/>
  <c r="S308" i="1"/>
  <c r="R308" i="1"/>
  <c r="N308" i="1"/>
  <c r="T307" i="1"/>
  <c r="S307" i="1"/>
  <c r="R307" i="1"/>
  <c r="N307" i="1"/>
  <c r="T306" i="1"/>
  <c r="S306" i="1"/>
  <c r="R306" i="1"/>
  <c r="N306" i="1"/>
  <c r="T305" i="1"/>
  <c r="S305" i="1"/>
  <c r="R305" i="1"/>
  <c r="N305" i="1"/>
  <c r="T304" i="1"/>
  <c r="S304" i="1"/>
  <c r="R304" i="1"/>
  <c r="N304" i="1"/>
  <c r="T303" i="1"/>
  <c r="S303" i="1"/>
  <c r="R303" i="1"/>
  <c r="N303" i="1"/>
  <c r="T302" i="1"/>
  <c r="S302" i="1"/>
  <c r="R302" i="1"/>
  <c r="N302" i="1"/>
  <c r="T301" i="1"/>
  <c r="S301" i="1"/>
  <c r="R301" i="1"/>
  <c r="N301" i="1"/>
  <c r="T300" i="1"/>
  <c r="S300" i="1"/>
  <c r="R300" i="1"/>
  <c r="N300" i="1"/>
  <c r="T299" i="1"/>
  <c r="S299" i="1"/>
  <c r="N299" i="1"/>
  <c r="T298" i="1"/>
  <c r="S298" i="1"/>
  <c r="R298" i="1"/>
  <c r="N298" i="1"/>
  <c r="T297" i="1"/>
  <c r="S297" i="1"/>
  <c r="R297" i="1"/>
  <c r="N297" i="1"/>
  <c r="T296" i="1"/>
  <c r="S296" i="1"/>
  <c r="R296" i="1"/>
  <c r="N296" i="1"/>
  <c r="T295" i="1"/>
  <c r="S295" i="1"/>
  <c r="R295" i="1"/>
  <c r="N295" i="1"/>
  <c r="T294" i="1"/>
  <c r="S294" i="1"/>
  <c r="R294" i="1"/>
  <c r="N294" i="1"/>
  <c r="T293" i="1"/>
  <c r="S293" i="1"/>
  <c r="R293" i="1"/>
  <c r="N293" i="1"/>
  <c r="T292" i="1"/>
  <c r="S292" i="1"/>
  <c r="R292" i="1"/>
  <c r="N292" i="1"/>
  <c r="T291" i="1"/>
  <c r="S291" i="1"/>
  <c r="R291" i="1"/>
  <c r="N291" i="1"/>
  <c r="T290" i="1"/>
  <c r="S290" i="1"/>
  <c r="R290" i="1"/>
  <c r="N290" i="1"/>
  <c r="T289" i="1"/>
  <c r="S289" i="1"/>
  <c r="R289" i="1"/>
  <c r="N289" i="1"/>
  <c r="T288" i="1"/>
  <c r="S288" i="1"/>
  <c r="T287" i="1"/>
  <c r="S287" i="1"/>
  <c r="R287" i="1"/>
  <c r="N287" i="1"/>
  <c r="T286" i="1"/>
  <c r="S286" i="1"/>
  <c r="R286" i="1"/>
  <c r="N286" i="1"/>
  <c r="T285" i="1"/>
  <c r="S285" i="1"/>
  <c r="R285" i="1"/>
  <c r="N285" i="1"/>
  <c r="T284" i="1"/>
  <c r="S284" i="1"/>
  <c r="R284" i="1"/>
  <c r="N284" i="1"/>
  <c r="T283" i="1"/>
  <c r="S283" i="1"/>
  <c r="T282" i="1"/>
  <c r="S282" i="1"/>
  <c r="R282" i="1"/>
  <c r="N282" i="1"/>
  <c r="T281" i="1"/>
  <c r="S281" i="1"/>
  <c r="R281" i="1"/>
  <c r="N281" i="1"/>
  <c r="T280" i="1"/>
  <c r="S280" i="1"/>
  <c r="R280" i="1"/>
  <c r="N280" i="1"/>
  <c r="T279" i="1"/>
  <c r="S279" i="1"/>
  <c r="R279" i="1"/>
  <c r="N279" i="1"/>
  <c r="T278" i="1"/>
  <c r="S278" i="1"/>
  <c r="T277" i="1"/>
  <c r="S277" i="1"/>
  <c r="R277" i="1"/>
  <c r="N277" i="1"/>
  <c r="T276" i="1"/>
  <c r="S276" i="1"/>
  <c r="T275" i="1"/>
  <c r="S275" i="1"/>
  <c r="R275" i="1"/>
  <c r="N275" i="1"/>
  <c r="T274" i="1"/>
  <c r="S274" i="1"/>
  <c r="R274" i="1"/>
  <c r="N274" i="1"/>
  <c r="T273" i="1"/>
  <c r="S273" i="1"/>
  <c r="R273" i="1"/>
  <c r="N273" i="1"/>
  <c r="T272" i="1"/>
  <c r="S272" i="1"/>
  <c r="R272" i="1"/>
  <c r="N272" i="1"/>
  <c r="T271" i="1"/>
  <c r="S271" i="1"/>
  <c r="R271" i="1"/>
  <c r="N271" i="1"/>
  <c r="T270" i="1"/>
  <c r="S270" i="1"/>
  <c r="R270" i="1"/>
  <c r="N270" i="1"/>
  <c r="T269" i="1"/>
  <c r="S269" i="1"/>
  <c r="R269" i="1"/>
  <c r="N269" i="1"/>
  <c r="T268" i="1"/>
  <c r="S268" i="1"/>
  <c r="R268" i="1"/>
  <c r="N268" i="1"/>
  <c r="T267" i="1"/>
  <c r="S267" i="1"/>
  <c r="R267" i="1"/>
  <c r="N267" i="1"/>
  <c r="T266" i="1"/>
  <c r="S266" i="1"/>
  <c r="R266" i="1"/>
  <c r="N266" i="1"/>
  <c r="T265" i="1"/>
  <c r="S265" i="1"/>
  <c r="R265" i="1"/>
  <c r="N265" i="1"/>
  <c r="T264" i="1"/>
  <c r="S264" i="1"/>
  <c r="R264" i="1"/>
  <c r="N264" i="1"/>
  <c r="T263" i="1"/>
  <c r="S263" i="1"/>
  <c r="R263" i="1"/>
  <c r="N263" i="1"/>
  <c r="T262" i="1"/>
  <c r="S262" i="1"/>
  <c r="R262" i="1"/>
  <c r="N262" i="1"/>
  <c r="T261" i="1"/>
  <c r="S261" i="1"/>
  <c r="R261" i="1"/>
  <c r="N261" i="1"/>
  <c r="T260" i="1"/>
  <c r="S260" i="1"/>
  <c r="R260" i="1"/>
  <c r="N260" i="1"/>
  <c r="T259" i="1"/>
  <c r="S259" i="1"/>
  <c r="R259" i="1"/>
  <c r="N259" i="1"/>
  <c r="T258" i="1"/>
  <c r="S258" i="1"/>
  <c r="R258" i="1"/>
  <c r="N258" i="1"/>
  <c r="T257" i="1"/>
  <c r="S257" i="1"/>
  <c r="R257" i="1"/>
  <c r="N257" i="1"/>
  <c r="T256" i="1"/>
  <c r="S256" i="1"/>
  <c r="R256" i="1"/>
  <c r="N256" i="1"/>
  <c r="T255" i="1"/>
  <c r="S255" i="1"/>
  <c r="R255" i="1"/>
  <c r="N255" i="1"/>
  <c r="T254" i="1"/>
  <c r="S254" i="1"/>
  <c r="R254" i="1"/>
  <c r="N254" i="1"/>
  <c r="T253" i="1"/>
  <c r="S253" i="1"/>
  <c r="R253" i="1"/>
  <c r="N253" i="1"/>
  <c r="T252" i="1"/>
  <c r="S252" i="1"/>
  <c r="R252" i="1"/>
  <c r="N252" i="1"/>
  <c r="T251" i="1"/>
  <c r="S251" i="1"/>
  <c r="R251" i="1"/>
  <c r="N251" i="1"/>
  <c r="T250" i="1"/>
  <c r="S250" i="1"/>
  <c r="R250" i="1"/>
  <c r="N250" i="1"/>
  <c r="T249" i="1"/>
  <c r="S249" i="1"/>
  <c r="R249" i="1"/>
  <c r="N249" i="1"/>
  <c r="T248" i="1"/>
  <c r="S248" i="1"/>
  <c r="R248" i="1"/>
  <c r="N248" i="1"/>
  <c r="T247" i="1"/>
  <c r="S247" i="1"/>
  <c r="R247" i="1"/>
  <c r="N247" i="1"/>
  <c r="T246" i="1"/>
  <c r="S246" i="1"/>
  <c r="R246" i="1"/>
  <c r="N246" i="1"/>
  <c r="T245" i="1"/>
  <c r="S245" i="1"/>
  <c r="R245" i="1"/>
  <c r="N245" i="1"/>
  <c r="T244" i="1"/>
  <c r="S244" i="1"/>
  <c r="R244" i="1"/>
  <c r="N244" i="1"/>
  <c r="T243" i="1"/>
  <c r="S243" i="1"/>
  <c r="R243" i="1"/>
  <c r="N243" i="1"/>
  <c r="T242" i="1"/>
  <c r="S242" i="1"/>
  <c r="R242" i="1"/>
  <c r="N242" i="1"/>
  <c r="T241" i="1"/>
  <c r="S241" i="1"/>
  <c r="R241" i="1"/>
  <c r="N241" i="1"/>
  <c r="T240" i="1"/>
  <c r="S240" i="1"/>
  <c r="R240" i="1"/>
  <c r="N240" i="1"/>
  <c r="T239" i="1"/>
  <c r="S239" i="1"/>
  <c r="R239" i="1"/>
  <c r="N239" i="1"/>
  <c r="T238" i="1"/>
  <c r="S238" i="1"/>
  <c r="R238" i="1"/>
  <c r="N238" i="1"/>
  <c r="T237" i="1"/>
  <c r="S237" i="1"/>
  <c r="R237" i="1"/>
  <c r="N237" i="1"/>
  <c r="T236" i="1"/>
  <c r="S236" i="1"/>
  <c r="R236" i="1"/>
  <c r="N236" i="1"/>
  <c r="T235" i="1"/>
  <c r="S235" i="1"/>
  <c r="R235" i="1"/>
  <c r="N235" i="1"/>
  <c r="T234" i="1"/>
  <c r="S234" i="1"/>
  <c r="R234" i="1"/>
  <c r="N234" i="1"/>
  <c r="T233" i="1"/>
  <c r="S233" i="1"/>
  <c r="R233" i="1"/>
  <c r="N233" i="1"/>
  <c r="T232" i="1"/>
  <c r="S232" i="1"/>
  <c r="R232" i="1"/>
  <c r="N232" i="1"/>
  <c r="T231" i="1"/>
  <c r="S231" i="1"/>
  <c r="R231" i="1"/>
  <c r="N231" i="1"/>
  <c r="T230" i="1"/>
  <c r="S230" i="1"/>
  <c r="R230" i="1"/>
  <c r="N230" i="1"/>
  <c r="T229" i="1"/>
  <c r="S229" i="1"/>
  <c r="R229" i="1"/>
  <c r="N229" i="1"/>
  <c r="T228" i="1"/>
  <c r="S228" i="1"/>
  <c r="R228" i="1"/>
  <c r="N228" i="1"/>
  <c r="T227" i="1"/>
  <c r="S227" i="1"/>
  <c r="R227" i="1"/>
  <c r="N227" i="1"/>
  <c r="T226" i="1"/>
  <c r="S226" i="1"/>
  <c r="R226" i="1"/>
  <c r="N226" i="1"/>
  <c r="T225" i="1"/>
  <c r="S225" i="1"/>
  <c r="R225" i="1"/>
  <c r="N225" i="1"/>
  <c r="T224" i="1"/>
  <c r="S224" i="1"/>
  <c r="R224" i="1"/>
  <c r="N224" i="1"/>
  <c r="T223" i="1"/>
  <c r="S223" i="1"/>
  <c r="R223" i="1"/>
  <c r="N223" i="1"/>
  <c r="T222" i="1"/>
  <c r="S222" i="1"/>
  <c r="R222" i="1"/>
  <c r="N222" i="1"/>
  <c r="T221" i="1"/>
  <c r="S221" i="1"/>
  <c r="R221" i="1"/>
  <c r="N221" i="1"/>
  <c r="T220" i="1"/>
  <c r="S220" i="1"/>
  <c r="R220" i="1"/>
  <c r="N220" i="1"/>
  <c r="T219" i="1"/>
  <c r="S219" i="1"/>
  <c r="R219" i="1"/>
  <c r="N219" i="1"/>
  <c r="T218" i="1"/>
  <c r="S218" i="1"/>
  <c r="R218" i="1"/>
  <c r="N218" i="1"/>
  <c r="T217" i="1"/>
  <c r="S217" i="1"/>
  <c r="R217" i="1"/>
  <c r="N217" i="1"/>
  <c r="T216" i="1"/>
  <c r="S216" i="1"/>
  <c r="R216" i="1"/>
  <c r="N216" i="1"/>
  <c r="T215" i="1"/>
  <c r="S215" i="1"/>
  <c r="R215" i="1"/>
  <c r="N215" i="1"/>
  <c r="T214" i="1"/>
  <c r="S214" i="1"/>
  <c r="R214" i="1"/>
  <c r="N214" i="1"/>
  <c r="T213" i="1"/>
  <c r="S213" i="1"/>
  <c r="R213" i="1"/>
  <c r="N213" i="1"/>
  <c r="T212" i="1"/>
  <c r="S212" i="1"/>
  <c r="R212" i="1"/>
  <c r="N212" i="1"/>
  <c r="T211" i="1"/>
  <c r="S211" i="1"/>
  <c r="R211" i="1"/>
  <c r="N211" i="1"/>
  <c r="T210" i="1"/>
  <c r="S210" i="1"/>
  <c r="R210" i="1"/>
  <c r="N210" i="1"/>
  <c r="T209" i="1"/>
  <c r="S209" i="1"/>
  <c r="R209" i="1"/>
  <c r="N209" i="1"/>
  <c r="T208" i="1"/>
  <c r="S208" i="1"/>
  <c r="R208" i="1"/>
  <c r="N208" i="1"/>
  <c r="T207" i="1"/>
  <c r="S207" i="1"/>
  <c r="R207" i="1"/>
  <c r="N207" i="1"/>
  <c r="T206" i="1"/>
  <c r="S206" i="1"/>
  <c r="R206" i="1"/>
  <c r="N206" i="1"/>
  <c r="T205" i="1"/>
  <c r="S205" i="1"/>
  <c r="R205" i="1"/>
  <c r="N205" i="1"/>
  <c r="T204" i="1"/>
  <c r="S204" i="1"/>
  <c r="R204" i="1"/>
  <c r="N204" i="1"/>
  <c r="T203" i="1"/>
  <c r="S203" i="1"/>
  <c r="R203" i="1"/>
  <c r="N203" i="1"/>
  <c r="T202" i="1"/>
  <c r="S202" i="1"/>
  <c r="R202" i="1"/>
  <c r="N202" i="1"/>
  <c r="T201" i="1"/>
  <c r="S201" i="1"/>
  <c r="R201" i="1"/>
  <c r="N201" i="1"/>
  <c r="T200" i="1"/>
  <c r="S200" i="1"/>
  <c r="R200" i="1"/>
  <c r="N200" i="1"/>
  <c r="T199" i="1"/>
  <c r="S199" i="1"/>
  <c r="R199" i="1"/>
  <c r="N199" i="1"/>
  <c r="T198" i="1"/>
  <c r="S198" i="1"/>
  <c r="R198" i="1"/>
  <c r="N198" i="1"/>
  <c r="T197" i="1"/>
  <c r="S197" i="1"/>
  <c r="R197" i="1"/>
  <c r="N197" i="1"/>
  <c r="T196" i="1"/>
  <c r="S196" i="1"/>
  <c r="R196" i="1"/>
  <c r="N196" i="1"/>
  <c r="T195" i="1"/>
  <c r="S195" i="1"/>
  <c r="R195" i="1"/>
  <c r="N195" i="1"/>
  <c r="T194" i="1"/>
  <c r="S194" i="1"/>
  <c r="R194" i="1"/>
  <c r="N194" i="1"/>
  <c r="T193" i="1"/>
  <c r="S193" i="1"/>
  <c r="R193" i="1"/>
  <c r="N193" i="1"/>
  <c r="T192" i="1"/>
  <c r="S192" i="1"/>
  <c r="R192" i="1"/>
  <c r="N192" i="1"/>
  <c r="T191" i="1"/>
  <c r="S191" i="1"/>
  <c r="R191" i="1"/>
  <c r="N191" i="1"/>
  <c r="T190" i="1"/>
  <c r="S190" i="1"/>
  <c r="R190" i="1"/>
  <c r="N190" i="1"/>
  <c r="T189" i="1"/>
  <c r="S189" i="1"/>
  <c r="R189" i="1"/>
  <c r="N189" i="1"/>
  <c r="T188" i="1"/>
  <c r="S188" i="1"/>
  <c r="R188" i="1"/>
  <c r="N188" i="1"/>
  <c r="T187" i="1"/>
  <c r="S187" i="1"/>
  <c r="R187" i="1"/>
  <c r="N187" i="1"/>
  <c r="T186" i="1"/>
  <c r="S186" i="1"/>
  <c r="R186" i="1"/>
  <c r="N186" i="1"/>
  <c r="T185" i="1"/>
  <c r="S185" i="1"/>
  <c r="R185" i="1"/>
  <c r="N185" i="1"/>
  <c r="T184" i="1"/>
  <c r="S184" i="1"/>
  <c r="R184" i="1"/>
  <c r="N184" i="1"/>
  <c r="T183" i="1"/>
  <c r="S183" i="1"/>
  <c r="R183" i="1"/>
  <c r="N183" i="1"/>
  <c r="T182" i="1"/>
  <c r="S182" i="1"/>
  <c r="R182" i="1"/>
  <c r="N182" i="1"/>
  <c r="T181" i="1"/>
  <c r="S181" i="1"/>
  <c r="R181" i="1"/>
  <c r="N181" i="1"/>
  <c r="T180" i="1"/>
  <c r="S180" i="1"/>
  <c r="R180" i="1"/>
  <c r="N180" i="1"/>
  <c r="T179" i="1"/>
  <c r="S179" i="1"/>
  <c r="R179" i="1"/>
  <c r="N179" i="1"/>
  <c r="T178" i="1"/>
  <c r="S178" i="1"/>
  <c r="R178" i="1"/>
  <c r="N178" i="1"/>
  <c r="T177" i="1"/>
  <c r="S177" i="1"/>
  <c r="R177" i="1"/>
  <c r="N177" i="1"/>
  <c r="T176" i="1"/>
  <c r="S176" i="1"/>
  <c r="R176" i="1"/>
  <c r="N176" i="1"/>
  <c r="T175" i="1"/>
  <c r="S175" i="1"/>
  <c r="R175" i="1"/>
  <c r="N175" i="1"/>
  <c r="T174" i="1"/>
  <c r="S174" i="1"/>
  <c r="R174" i="1"/>
  <c r="N174" i="1"/>
  <c r="T173" i="1"/>
  <c r="S173" i="1"/>
  <c r="R173" i="1"/>
  <c r="N173" i="1"/>
  <c r="T172" i="1"/>
  <c r="S172" i="1"/>
  <c r="R172" i="1"/>
  <c r="N172" i="1"/>
  <c r="T171" i="1"/>
  <c r="S171" i="1"/>
  <c r="R171" i="1"/>
  <c r="N171" i="1"/>
  <c r="T170" i="1"/>
  <c r="S170" i="1"/>
  <c r="R170" i="1"/>
  <c r="N170" i="1"/>
  <c r="T169" i="1"/>
  <c r="S169" i="1"/>
  <c r="R169" i="1"/>
  <c r="N169" i="1"/>
  <c r="T168" i="1"/>
  <c r="S168" i="1"/>
  <c r="R168" i="1"/>
  <c r="N168" i="1"/>
  <c r="T167" i="1"/>
  <c r="S167" i="1"/>
  <c r="R167" i="1"/>
  <c r="N167" i="1"/>
  <c r="T166" i="1"/>
  <c r="S166" i="1"/>
  <c r="R166" i="1"/>
  <c r="N166" i="1"/>
  <c r="T165" i="1"/>
  <c r="S165" i="1"/>
  <c r="R165" i="1"/>
  <c r="N165" i="1"/>
  <c r="T164" i="1"/>
  <c r="S164" i="1"/>
  <c r="R164" i="1"/>
  <c r="N164" i="1"/>
  <c r="T163" i="1"/>
  <c r="S163" i="1"/>
  <c r="R163" i="1"/>
  <c r="N163" i="1"/>
  <c r="T162" i="1"/>
  <c r="S162" i="1"/>
  <c r="R162" i="1"/>
  <c r="N162" i="1"/>
  <c r="T161" i="1"/>
  <c r="S161" i="1"/>
  <c r="R161" i="1"/>
  <c r="N161" i="1"/>
  <c r="T160" i="1"/>
  <c r="S160" i="1"/>
  <c r="R160" i="1"/>
  <c r="N160" i="1"/>
  <c r="T159" i="1"/>
  <c r="S159" i="1"/>
  <c r="R159" i="1"/>
  <c r="N159" i="1"/>
  <c r="T158" i="1"/>
  <c r="S158" i="1"/>
  <c r="R158" i="1"/>
  <c r="N158" i="1"/>
  <c r="T157" i="1"/>
  <c r="S157" i="1"/>
  <c r="R157" i="1"/>
  <c r="N157" i="1"/>
  <c r="T156" i="1"/>
  <c r="S156" i="1"/>
  <c r="R156" i="1"/>
  <c r="N156" i="1"/>
  <c r="T155" i="1"/>
  <c r="S155" i="1"/>
  <c r="R155" i="1"/>
  <c r="N155" i="1"/>
  <c r="T154" i="1"/>
  <c r="S154" i="1"/>
  <c r="R154" i="1"/>
  <c r="N154" i="1"/>
  <c r="T153" i="1"/>
  <c r="S153" i="1"/>
  <c r="R153" i="1"/>
  <c r="N153" i="1"/>
  <c r="T152" i="1"/>
  <c r="S152" i="1"/>
  <c r="R152" i="1"/>
  <c r="N152" i="1"/>
  <c r="T151" i="1"/>
  <c r="S151" i="1"/>
  <c r="R151" i="1"/>
  <c r="N151" i="1"/>
  <c r="T150" i="1"/>
  <c r="S150" i="1"/>
  <c r="R150" i="1"/>
  <c r="N150" i="1"/>
  <c r="T149" i="1"/>
  <c r="S149" i="1"/>
  <c r="R149" i="1"/>
  <c r="N149" i="1"/>
  <c r="T148" i="1"/>
  <c r="S148" i="1"/>
  <c r="R148" i="1"/>
  <c r="N148" i="1"/>
  <c r="T147" i="1"/>
  <c r="S147" i="1"/>
  <c r="R147" i="1"/>
  <c r="N147" i="1"/>
  <c r="T146" i="1"/>
  <c r="S146" i="1"/>
  <c r="R146" i="1"/>
  <c r="N146" i="1"/>
  <c r="T145" i="1"/>
  <c r="S145" i="1"/>
  <c r="R145" i="1"/>
  <c r="N145" i="1"/>
  <c r="T144" i="1"/>
  <c r="S144" i="1"/>
  <c r="R144" i="1"/>
  <c r="N144" i="1"/>
  <c r="T143" i="1"/>
  <c r="S143" i="1"/>
  <c r="R143" i="1"/>
  <c r="N143" i="1"/>
  <c r="T142" i="1"/>
  <c r="S142" i="1"/>
  <c r="R142" i="1"/>
  <c r="N142" i="1"/>
  <c r="T141" i="1"/>
  <c r="S141" i="1"/>
  <c r="R141" i="1"/>
  <c r="N141" i="1"/>
  <c r="T140" i="1"/>
  <c r="S140" i="1"/>
  <c r="R140" i="1"/>
  <c r="N140" i="1"/>
  <c r="T139" i="1"/>
  <c r="S139" i="1"/>
  <c r="R139" i="1"/>
  <c r="N139" i="1"/>
  <c r="T138" i="1"/>
  <c r="S138" i="1"/>
  <c r="R138" i="1"/>
  <c r="N138" i="1"/>
  <c r="T137" i="1"/>
  <c r="S137" i="1"/>
  <c r="R137" i="1"/>
  <c r="N137" i="1"/>
  <c r="T136" i="1"/>
  <c r="S136" i="1"/>
  <c r="R136" i="1"/>
  <c r="N136" i="1"/>
  <c r="T135" i="1"/>
  <c r="S135" i="1"/>
  <c r="R135" i="1"/>
  <c r="N135" i="1"/>
  <c r="T134" i="1"/>
  <c r="S134" i="1"/>
  <c r="R134" i="1"/>
  <c r="N134" i="1"/>
  <c r="T133" i="1"/>
  <c r="S133" i="1"/>
  <c r="R133" i="1"/>
  <c r="N133" i="1"/>
  <c r="T132" i="1"/>
  <c r="S132" i="1"/>
  <c r="R132" i="1"/>
  <c r="N132" i="1"/>
  <c r="T131" i="1"/>
  <c r="S131" i="1"/>
  <c r="R131" i="1"/>
  <c r="N131" i="1"/>
  <c r="T130" i="1"/>
  <c r="S130" i="1"/>
  <c r="R130" i="1"/>
  <c r="N130" i="1"/>
  <c r="T129" i="1"/>
  <c r="S129" i="1"/>
  <c r="R129" i="1"/>
  <c r="N129" i="1"/>
  <c r="T128" i="1"/>
  <c r="S128" i="1"/>
  <c r="R128" i="1"/>
  <c r="N128" i="1"/>
  <c r="T127" i="1"/>
  <c r="S127" i="1"/>
  <c r="R127" i="1"/>
  <c r="N127" i="1"/>
  <c r="T126" i="1"/>
  <c r="S126" i="1"/>
  <c r="R126" i="1"/>
  <c r="N126" i="1"/>
  <c r="T125" i="1"/>
  <c r="S125" i="1"/>
  <c r="R125" i="1"/>
  <c r="N125" i="1"/>
  <c r="T124" i="1"/>
  <c r="S124" i="1"/>
  <c r="R124" i="1"/>
  <c r="N124" i="1"/>
  <c r="T123" i="1"/>
  <c r="S123" i="1"/>
  <c r="R123" i="1"/>
  <c r="N123" i="1"/>
  <c r="T122" i="1"/>
  <c r="S122" i="1"/>
  <c r="R122" i="1"/>
  <c r="N122" i="1"/>
  <c r="T121" i="1"/>
  <c r="S121" i="1"/>
  <c r="R121" i="1"/>
  <c r="N121" i="1"/>
  <c r="T120" i="1"/>
  <c r="S120" i="1"/>
  <c r="R120" i="1"/>
  <c r="N120" i="1"/>
  <c r="T119" i="1"/>
  <c r="S119" i="1"/>
  <c r="R119" i="1"/>
  <c r="N119" i="1"/>
  <c r="T118" i="1"/>
  <c r="S118" i="1"/>
  <c r="R118" i="1"/>
  <c r="N118" i="1"/>
  <c r="T117" i="1"/>
  <c r="S117" i="1"/>
  <c r="R117" i="1"/>
  <c r="N117" i="1"/>
  <c r="T116" i="1"/>
  <c r="S116" i="1"/>
  <c r="R116" i="1"/>
  <c r="N116" i="1"/>
  <c r="T115" i="1"/>
  <c r="S115" i="1"/>
  <c r="R115" i="1"/>
  <c r="N115" i="1"/>
  <c r="T114" i="1"/>
  <c r="S114" i="1"/>
  <c r="R114" i="1"/>
  <c r="N114" i="1"/>
  <c r="T113" i="1"/>
  <c r="S113" i="1"/>
  <c r="R113" i="1"/>
  <c r="N113" i="1"/>
  <c r="T112" i="1"/>
  <c r="S112" i="1"/>
  <c r="R112" i="1"/>
  <c r="N112" i="1"/>
  <c r="T111" i="1"/>
  <c r="S111" i="1"/>
  <c r="R111" i="1"/>
  <c r="N111" i="1"/>
  <c r="T110" i="1"/>
  <c r="S110" i="1"/>
  <c r="R110" i="1"/>
  <c r="N110" i="1"/>
  <c r="T109" i="1"/>
  <c r="S109" i="1"/>
  <c r="R109" i="1"/>
  <c r="N109" i="1"/>
  <c r="T108" i="1"/>
  <c r="S108" i="1"/>
  <c r="R108" i="1"/>
  <c r="N108" i="1"/>
  <c r="T107" i="1"/>
  <c r="S107" i="1"/>
  <c r="R107" i="1"/>
  <c r="N107" i="1"/>
  <c r="T106" i="1"/>
  <c r="S106" i="1"/>
  <c r="R106" i="1"/>
  <c r="N106" i="1"/>
  <c r="T105" i="1"/>
  <c r="S105" i="1"/>
  <c r="R105" i="1"/>
  <c r="N105" i="1"/>
  <c r="T104" i="1"/>
  <c r="S104" i="1"/>
  <c r="R104" i="1"/>
  <c r="N104" i="1"/>
  <c r="T103" i="1"/>
  <c r="S103" i="1"/>
  <c r="R103" i="1"/>
  <c r="N103" i="1"/>
  <c r="T102" i="1"/>
  <c r="S102" i="1"/>
  <c r="R102" i="1"/>
  <c r="N102" i="1"/>
  <c r="T101" i="1"/>
  <c r="S101" i="1"/>
  <c r="R101" i="1"/>
  <c r="N101" i="1"/>
  <c r="T100" i="1"/>
  <c r="S100" i="1"/>
  <c r="R100" i="1"/>
  <c r="N100" i="1"/>
  <c r="T99" i="1"/>
  <c r="S99" i="1"/>
  <c r="R99" i="1"/>
  <c r="N99" i="1"/>
  <c r="T98" i="1"/>
  <c r="S98" i="1"/>
  <c r="R98" i="1"/>
  <c r="N98" i="1"/>
  <c r="T97" i="1"/>
  <c r="S97" i="1"/>
  <c r="R97" i="1"/>
  <c r="N97" i="1"/>
  <c r="T96" i="1"/>
  <c r="S96" i="1"/>
  <c r="R96" i="1"/>
  <c r="N96" i="1"/>
  <c r="T95" i="1"/>
  <c r="S95" i="1"/>
  <c r="R95" i="1"/>
  <c r="N95" i="1"/>
  <c r="T94" i="1"/>
  <c r="S94" i="1"/>
  <c r="R94" i="1"/>
  <c r="N94" i="1"/>
  <c r="T93" i="1"/>
  <c r="S93" i="1"/>
  <c r="R93" i="1"/>
  <c r="N93" i="1"/>
  <c r="T92" i="1"/>
  <c r="S92" i="1"/>
  <c r="R92" i="1"/>
  <c r="N92" i="1"/>
  <c r="T91" i="1"/>
  <c r="S91" i="1"/>
  <c r="R91" i="1"/>
  <c r="N91" i="1"/>
  <c r="T90" i="1"/>
  <c r="S90" i="1"/>
  <c r="R90" i="1"/>
  <c r="N90" i="1"/>
  <c r="T89" i="1"/>
  <c r="S89" i="1"/>
  <c r="R89" i="1"/>
  <c r="N89" i="1"/>
  <c r="T88" i="1"/>
  <c r="S88" i="1"/>
  <c r="R88" i="1"/>
  <c r="N88" i="1"/>
  <c r="T87" i="1"/>
  <c r="S87" i="1"/>
  <c r="R87" i="1"/>
  <c r="N87" i="1"/>
  <c r="T86" i="1"/>
  <c r="S86" i="1"/>
  <c r="R86" i="1"/>
  <c r="N86" i="1"/>
  <c r="T85" i="1"/>
  <c r="S85" i="1"/>
  <c r="R85" i="1"/>
  <c r="N85" i="1"/>
  <c r="T84" i="1"/>
  <c r="S84" i="1"/>
  <c r="R84" i="1"/>
  <c r="N84" i="1"/>
  <c r="T83" i="1"/>
  <c r="S83" i="1"/>
  <c r="R83" i="1"/>
  <c r="N83" i="1"/>
  <c r="T82" i="1"/>
  <c r="S82" i="1"/>
  <c r="R82" i="1"/>
  <c r="N82" i="1"/>
  <c r="T81" i="1"/>
  <c r="S81" i="1"/>
  <c r="R81" i="1"/>
  <c r="N81" i="1"/>
  <c r="T80" i="1"/>
  <c r="S80" i="1"/>
  <c r="R80" i="1"/>
  <c r="N80" i="1"/>
  <c r="T79" i="1"/>
  <c r="S79" i="1"/>
  <c r="R79" i="1"/>
  <c r="N79" i="1"/>
  <c r="T78" i="1"/>
  <c r="S78" i="1"/>
  <c r="R78" i="1"/>
  <c r="N78" i="1"/>
  <c r="T77" i="1"/>
  <c r="S77" i="1"/>
  <c r="R77" i="1"/>
  <c r="N77" i="1"/>
  <c r="T76" i="1"/>
  <c r="S76" i="1"/>
  <c r="R76" i="1"/>
  <c r="N76" i="1"/>
  <c r="T75" i="1"/>
  <c r="S75" i="1"/>
  <c r="R75" i="1"/>
  <c r="N75" i="1"/>
  <c r="T74" i="1"/>
  <c r="S74" i="1"/>
  <c r="R74" i="1"/>
  <c r="N74" i="1"/>
  <c r="T73" i="1"/>
  <c r="S73" i="1"/>
  <c r="R73" i="1"/>
  <c r="N73" i="1"/>
  <c r="T72" i="1"/>
  <c r="S72" i="1"/>
  <c r="R72" i="1"/>
  <c r="N72" i="1"/>
  <c r="T71" i="1"/>
  <c r="S71" i="1"/>
  <c r="R71" i="1"/>
  <c r="N71" i="1"/>
  <c r="T70" i="1"/>
  <c r="S70" i="1"/>
  <c r="R70" i="1"/>
  <c r="N70" i="1"/>
  <c r="T69" i="1"/>
  <c r="S69" i="1"/>
  <c r="R69" i="1"/>
  <c r="N69" i="1"/>
  <c r="T68" i="1"/>
  <c r="S68" i="1"/>
  <c r="R68" i="1"/>
  <c r="N68" i="1"/>
  <c r="T67" i="1"/>
  <c r="S67" i="1"/>
  <c r="R67" i="1"/>
  <c r="N67" i="1"/>
  <c r="T66" i="1"/>
  <c r="S66" i="1"/>
  <c r="R66" i="1"/>
  <c r="N66" i="1"/>
  <c r="T65" i="1"/>
  <c r="S65" i="1"/>
  <c r="R65" i="1"/>
  <c r="N65" i="1"/>
  <c r="T64" i="1"/>
  <c r="S64" i="1"/>
  <c r="R64" i="1"/>
  <c r="N64" i="1"/>
  <c r="T63" i="1"/>
  <c r="S63" i="1"/>
  <c r="R63" i="1"/>
  <c r="N63" i="1"/>
  <c r="T62" i="1"/>
  <c r="S62" i="1"/>
  <c r="R62" i="1"/>
  <c r="N62" i="1"/>
  <c r="T61" i="1"/>
  <c r="S61" i="1"/>
  <c r="R61" i="1"/>
  <c r="N61" i="1"/>
  <c r="T60" i="1"/>
  <c r="S60" i="1"/>
  <c r="R60" i="1"/>
  <c r="N60" i="1"/>
  <c r="T59" i="1"/>
  <c r="S59" i="1"/>
  <c r="R59" i="1"/>
  <c r="N59" i="1"/>
  <c r="T58" i="1"/>
  <c r="S58" i="1"/>
  <c r="R58" i="1"/>
  <c r="N58" i="1"/>
  <c r="T57" i="1"/>
  <c r="S57" i="1"/>
  <c r="R57" i="1"/>
  <c r="N57" i="1"/>
  <c r="T56" i="1"/>
  <c r="S56" i="1"/>
  <c r="R56" i="1"/>
  <c r="N56" i="1"/>
  <c r="T55" i="1"/>
  <c r="S55" i="1"/>
  <c r="R55" i="1"/>
  <c r="N55" i="1"/>
  <c r="T54" i="1"/>
  <c r="S54" i="1"/>
  <c r="R54" i="1"/>
  <c r="N54" i="1"/>
  <c r="T53" i="1"/>
  <c r="S53" i="1"/>
  <c r="R53" i="1"/>
  <c r="N53" i="1"/>
  <c r="T52" i="1"/>
  <c r="S52" i="1"/>
  <c r="R52" i="1"/>
  <c r="N52" i="1"/>
  <c r="T51" i="1"/>
  <c r="S51" i="1"/>
  <c r="R51" i="1"/>
  <c r="N51" i="1"/>
  <c r="T50" i="1"/>
  <c r="S50" i="1"/>
  <c r="R50" i="1"/>
  <c r="N50" i="1"/>
  <c r="T49" i="1"/>
  <c r="S49" i="1"/>
  <c r="R49" i="1"/>
  <c r="N49" i="1"/>
  <c r="T48" i="1"/>
  <c r="S48" i="1"/>
  <c r="R48" i="1"/>
  <c r="N48" i="1"/>
  <c r="T47" i="1"/>
  <c r="S47" i="1"/>
  <c r="R47" i="1"/>
  <c r="N47" i="1"/>
  <c r="T46" i="1"/>
  <c r="S46" i="1"/>
  <c r="R46" i="1"/>
  <c r="N46" i="1"/>
  <c r="T45" i="1"/>
  <c r="S45" i="1"/>
  <c r="R45" i="1"/>
  <c r="N45" i="1"/>
  <c r="T44" i="1"/>
  <c r="S44" i="1"/>
  <c r="R44" i="1"/>
  <c r="N44" i="1"/>
  <c r="T43" i="1"/>
  <c r="S43" i="1"/>
  <c r="R43" i="1"/>
  <c r="N43" i="1"/>
  <c r="T42" i="1"/>
  <c r="S42" i="1"/>
  <c r="R42" i="1"/>
  <c r="N42" i="1"/>
  <c r="T41" i="1"/>
  <c r="S41" i="1"/>
  <c r="R41" i="1"/>
  <c r="N41" i="1"/>
  <c r="T40" i="1"/>
  <c r="S40" i="1"/>
  <c r="R40" i="1"/>
  <c r="N40" i="1"/>
  <c r="T39" i="1"/>
  <c r="S39" i="1"/>
  <c r="R39" i="1"/>
  <c r="N39" i="1"/>
  <c r="T38" i="1"/>
  <c r="S38" i="1"/>
  <c r="R38" i="1"/>
  <c r="N38" i="1"/>
  <c r="T37" i="1"/>
  <c r="S37" i="1"/>
  <c r="R37" i="1"/>
  <c r="N37" i="1"/>
  <c r="T36" i="1"/>
  <c r="S36" i="1"/>
  <c r="R36" i="1"/>
  <c r="N36" i="1"/>
  <c r="T35" i="1"/>
  <c r="S35" i="1"/>
  <c r="R35" i="1"/>
  <c r="N35" i="1"/>
  <c r="T34" i="1"/>
  <c r="S34" i="1"/>
  <c r="R34" i="1"/>
  <c r="N34" i="1"/>
  <c r="T33" i="1"/>
  <c r="S33" i="1"/>
  <c r="R33" i="1"/>
  <c r="N33" i="1"/>
  <c r="T32" i="1"/>
  <c r="S32" i="1"/>
  <c r="R32" i="1"/>
  <c r="N32" i="1"/>
  <c r="T31" i="1"/>
  <c r="S31" i="1"/>
  <c r="R31" i="1"/>
  <c r="N31" i="1"/>
  <c r="T30" i="1"/>
  <c r="S30" i="1"/>
  <c r="R30" i="1"/>
  <c r="N30" i="1"/>
  <c r="T29" i="1"/>
  <c r="S29" i="1"/>
  <c r="R29" i="1"/>
  <c r="N29" i="1"/>
  <c r="T28" i="1"/>
  <c r="S28" i="1"/>
  <c r="R28" i="1"/>
  <c r="N28" i="1"/>
  <c r="T27" i="1"/>
  <c r="S27" i="1"/>
  <c r="R27" i="1"/>
  <c r="N27" i="1"/>
  <c r="T26" i="1"/>
  <c r="S26" i="1"/>
  <c r="R26" i="1"/>
  <c r="N26" i="1"/>
  <c r="T25" i="1"/>
  <c r="S25" i="1"/>
  <c r="R25" i="1"/>
  <c r="N25" i="1"/>
  <c r="T24" i="1"/>
  <c r="S24" i="1"/>
  <c r="R24" i="1"/>
  <c r="N24" i="1"/>
  <c r="T23" i="1"/>
  <c r="S23" i="1"/>
  <c r="R23" i="1"/>
  <c r="N23" i="1"/>
  <c r="T22" i="1"/>
  <c r="S22" i="1"/>
  <c r="R22" i="1"/>
  <c r="N22" i="1"/>
  <c r="T21" i="1"/>
  <c r="S21" i="1"/>
  <c r="R21" i="1"/>
  <c r="N21" i="1"/>
  <c r="T20" i="1"/>
  <c r="S20" i="1"/>
  <c r="R20" i="1"/>
  <c r="N20" i="1"/>
  <c r="T19" i="1"/>
  <c r="S19" i="1"/>
  <c r="R19" i="1"/>
  <c r="N19" i="1"/>
  <c r="T18" i="1"/>
  <c r="S18" i="1"/>
  <c r="R18" i="1"/>
  <c r="N18" i="1"/>
  <c r="T17" i="1"/>
  <c r="S17" i="1"/>
  <c r="N17" i="1"/>
  <c r="T16" i="1"/>
  <c r="S16" i="1"/>
  <c r="R16" i="1"/>
  <c r="N16" i="1"/>
  <c r="T15" i="1"/>
  <c r="S15" i="1"/>
  <c r="R15" i="1"/>
  <c r="N15" i="1"/>
  <c r="T14" i="1"/>
  <c r="S14" i="1"/>
  <c r="R14" i="1"/>
  <c r="N14" i="1"/>
  <c r="T13" i="1"/>
  <c r="S13" i="1"/>
  <c r="R13" i="1"/>
  <c r="N13" i="1"/>
  <c r="T12" i="1"/>
  <c r="S12" i="1"/>
  <c r="R12" i="1"/>
  <c r="N12" i="1"/>
  <c r="T11" i="1"/>
  <c r="S11" i="1"/>
  <c r="R11" i="1"/>
  <c r="N11" i="1"/>
  <c r="T10" i="1"/>
  <c r="S10" i="1"/>
  <c r="R10" i="1"/>
  <c r="N10" i="1"/>
  <c r="T9" i="1"/>
  <c r="S9" i="1"/>
  <c r="R9" i="1"/>
  <c r="N9" i="1"/>
  <c r="T8" i="1"/>
  <c r="S8" i="1"/>
  <c r="R8" i="1"/>
  <c r="N8" i="1"/>
  <c r="T7" i="1"/>
  <c r="S7" i="1"/>
  <c r="R7" i="1"/>
  <c r="N7" i="1"/>
  <c r="T6" i="1"/>
  <c r="S6" i="1"/>
  <c r="R6" i="1"/>
  <c r="N6" i="1"/>
  <c r="T5" i="1"/>
  <c r="S5" i="1"/>
  <c r="R5" i="1"/>
  <c r="N5" i="1"/>
  <c r="T4" i="1"/>
  <c r="S4" i="1"/>
  <c r="R4" i="1"/>
  <c r="N4" i="1"/>
  <c r="T3" i="1"/>
  <c r="S3" i="1"/>
  <c r="R3" i="1"/>
  <c r="N3" i="1"/>
  <c r="T2" i="1"/>
  <c r="S2" i="1"/>
  <c r="R2" i="1"/>
  <c r="N2" i="1"/>
  <c r="F1" i="8"/>
  <c r="G1" i="8"/>
</calcChain>
</file>

<file path=xl/sharedStrings.xml><?xml version="1.0" encoding="utf-8"?>
<sst xmlns="http://schemas.openxmlformats.org/spreadsheetml/2006/main" count="7897" uniqueCount="2498">
  <si>
    <t>Master Reference</t>
  </si>
  <si>
    <t>Agent</t>
  </si>
  <si>
    <t>Enquiry Source</t>
  </si>
  <si>
    <t>Consultant</t>
  </si>
  <si>
    <t>Country Of Residence</t>
  </si>
  <si>
    <t>Destination Country</t>
  </si>
  <si>
    <t>Nationality</t>
  </si>
  <si>
    <t>Leader Name</t>
  </si>
  <si>
    <t>Leader Email</t>
  </si>
  <si>
    <t>Booking Start Date</t>
  </si>
  <si>
    <t>Service From Date</t>
  </si>
  <si>
    <t>Service To Date</t>
  </si>
  <si>
    <t>Night</t>
  </si>
  <si>
    <t>Currency</t>
  </si>
  <si>
    <t>Agent Rate</t>
  </si>
  <si>
    <t>Tags</t>
  </si>
  <si>
    <t>Year</t>
  </si>
  <si>
    <t>Month</t>
  </si>
  <si>
    <t>value</t>
  </si>
  <si>
    <t>RDT2024034514</t>
  </si>
  <si>
    <t>Red Dot Tours - RedDotTours  (RDT)</t>
  </si>
  <si>
    <t>website</t>
  </si>
  <si>
    <t>DULMINIE</t>
  </si>
  <si>
    <t>United Kingdom</t>
  </si>
  <si>
    <t>Sri Lanka</t>
  </si>
  <si>
    <t>British</t>
  </si>
  <si>
    <t>Mr Matthew  Meyer</t>
  </si>
  <si>
    <t>mfmeyer@hotmail.com</t>
  </si>
  <si>
    <t>USD</t>
  </si>
  <si>
    <t>RDT2024034505</t>
  </si>
  <si>
    <t>local sales fam</t>
  </si>
  <si>
    <t>SamanthiK</t>
  </si>
  <si>
    <t>Mr David Hopps</t>
  </si>
  <si>
    <t>davidhopps@reddottours.com</t>
  </si>
  <si>
    <t>RDT2024024289</t>
  </si>
  <si>
    <t>Mr Peter Suggett</t>
  </si>
  <si>
    <t>peter.suggett@yahoo.co.uk</t>
  </si>
  <si>
    <t>RDT2024024200</t>
  </si>
  <si>
    <t>repeat client</t>
  </si>
  <si>
    <t>lahiruK</t>
  </si>
  <si>
    <t>Mrs Melinda  Lytle Hamilton Stubbs</t>
  </si>
  <si>
    <t>mstubbs41@gmail.com</t>
  </si>
  <si>
    <t>RDT2024024143</t>
  </si>
  <si>
    <t>United States of America</t>
  </si>
  <si>
    <t>American</t>
  </si>
  <si>
    <t>Mr Peter Harnik</t>
  </si>
  <si>
    <t>pvelikii@gmail.com</t>
  </si>
  <si>
    <t>RDT2024024113</t>
  </si>
  <si>
    <t>Australia</t>
  </si>
  <si>
    <t>Australian</t>
  </si>
  <si>
    <t>Ms Annette Sook Meng  FitzGibbon</t>
  </si>
  <si>
    <t>Annetteleong232@gmail.com</t>
  </si>
  <si>
    <t>RDT2024024104</t>
  </si>
  <si>
    <t>Mrs Sophie  Clucas</t>
  </si>
  <si>
    <t>sophieclucas@hotmail.com</t>
  </si>
  <si>
    <t>RDT2024013994</t>
  </si>
  <si>
    <t>referral</t>
  </si>
  <si>
    <t>Malta</t>
  </si>
  <si>
    <t>Maltese</t>
  </si>
  <si>
    <t>Mrs Bianca  Anastasi</t>
  </si>
  <si>
    <t>anastasibianca@gmail.com</t>
  </si>
  <si>
    <t>RDT2024013986</t>
  </si>
  <si>
    <t>Mr David  Benjamin Ridgwell</t>
  </si>
  <si>
    <t>benandcamilla@aol.com</t>
  </si>
  <si>
    <t>SLIS2024013938</t>
  </si>
  <si>
    <t>SriLankaInStyle - SriLankaInStyle  (SLIS)</t>
  </si>
  <si>
    <t>Ms Emily Fenton</t>
  </si>
  <si>
    <t>emily_fenton@btinternet.com</t>
  </si>
  <si>
    <t>RDT2024013907</t>
  </si>
  <si>
    <t>Mr James Henry Michael Clayton</t>
  </si>
  <si>
    <t>jameshmclayton@mac.com</t>
  </si>
  <si>
    <t>RDT2024013894</t>
  </si>
  <si>
    <t>Mr Alan  Methven Smith</t>
  </si>
  <si>
    <t>alansmith67@blueyonder.co.uk</t>
  </si>
  <si>
    <t>SLIS2024013873</t>
  </si>
  <si>
    <t>wendy perrin</t>
  </si>
  <si>
    <t>Nicolaw</t>
  </si>
  <si>
    <t>Hong Kong</t>
  </si>
  <si>
    <t>Mrs Harriet Holbrook</t>
  </si>
  <si>
    <t>hholbrook@gmail.com</t>
  </si>
  <si>
    <t>RDT2024013861</t>
  </si>
  <si>
    <t>Ms Lyndsey  Ann Posner</t>
  </si>
  <si>
    <t>posnerl@mac.com</t>
  </si>
  <si>
    <t>RDT2024013855</t>
  </si>
  <si>
    <t>Mr Jack  Fisk</t>
  </si>
  <si>
    <t>jackfisk13@googlemail.com</t>
  </si>
  <si>
    <t>RDT2024013831</t>
  </si>
  <si>
    <t>Mr Nicholas  Peter Borowiecki</t>
  </si>
  <si>
    <t>niki@nikiborowiecki.com</t>
  </si>
  <si>
    <t>RDT2024013829</t>
  </si>
  <si>
    <t>Mr Thomas  Birch</t>
  </si>
  <si>
    <t>bircht@earthlink.net</t>
  </si>
  <si>
    <t>RDT2024013826</t>
  </si>
  <si>
    <t>Ms Alice  Buckingham</t>
  </si>
  <si>
    <t>aeg.buckingham@gmail.com</t>
  </si>
  <si>
    <t>RDT2024013825</t>
  </si>
  <si>
    <t>Singapore</t>
  </si>
  <si>
    <t>Singaporean</t>
  </si>
  <si>
    <t>Mrs Karen Koh</t>
  </si>
  <si>
    <t>kohmarzo@gmail.com</t>
  </si>
  <si>
    <t>RDT2024013800</t>
  </si>
  <si>
    <t>Ms Philippa  Jane  Reade</t>
  </si>
  <si>
    <t>pippagarrard@gmail.com</t>
  </si>
  <si>
    <t>RDT2024013765</t>
  </si>
  <si>
    <t>Mr Ian  Boast</t>
  </si>
  <si>
    <t>Rhianandian@btinternet.com</t>
  </si>
  <si>
    <t>RDT2024013763</t>
  </si>
  <si>
    <t>Ms Deborah  Ann Brown</t>
  </si>
  <si>
    <t>Dbbrn22@gmail.com</t>
  </si>
  <si>
    <t>SLIS2024013762</t>
  </si>
  <si>
    <t>Mrs Lim Pek Kueen</t>
  </si>
  <si>
    <t>lim.kerri@gmail.com</t>
  </si>
  <si>
    <t>RDT2023123692</t>
  </si>
  <si>
    <t>Mr William  Edward John Simmons</t>
  </si>
  <si>
    <t>naseby1645@yahoo.co.uk</t>
  </si>
  <si>
    <t>RDT2023123676</t>
  </si>
  <si>
    <t>Canada</t>
  </si>
  <si>
    <t>Canadian</t>
  </si>
  <si>
    <t>Mrs Sriyani  Widyaratne</t>
  </si>
  <si>
    <t>suewidya@gmail.com</t>
  </si>
  <si>
    <t>RDT2023123652</t>
  </si>
  <si>
    <t>Mr Russell  Lees</t>
  </si>
  <si>
    <t>russell.l@btinternet.com</t>
  </si>
  <si>
    <t>RDT2023123648</t>
  </si>
  <si>
    <t>Colombia</t>
  </si>
  <si>
    <t>Colombian</t>
  </si>
  <si>
    <t>Mr JOSE HUGO</t>
  </si>
  <si>
    <t>RDT2023123643</t>
  </si>
  <si>
    <t>Germany</t>
  </si>
  <si>
    <t>German</t>
  </si>
  <si>
    <t>Mr Pablo Groeger</t>
  </si>
  <si>
    <t>pablo.groeger@web.de</t>
  </si>
  <si>
    <t>RDT2023123642</t>
  </si>
  <si>
    <t>Mr James  Macdonald-Buchanan</t>
  </si>
  <si>
    <t>jamesmacbuc@gmail.com</t>
  </si>
  <si>
    <t>SLIS2023123638</t>
  </si>
  <si>
    <t>Ms Grace Rowe</t>
  </si>
  <si>
    <t>gracie.rowe@hotmail.com</t>
  </si>
  <si>
    <t>RDT2023123634</t>
  </si>
  <si>
    <t>Mr Neil Whyte</t>
  </si>
  <si>
    <t>tower1972@gmail.com</t>
  </si>
  <si>
    <t>RDT2023123633</t>
  </si>
  <si>
    <t>Mr Timothy  Blenkin</t>
  </si>
  <si>
    <t>tim@spella.co.uk</t>
  </si>
  <si>
    <t>RDT2023123632</t>
  </si>
  <si>
    <t>Mrs Rachel  Barstow</t>
  </si>
  <si>
    <t>rbarstow@live.co.uk</t>
  </si>
  <si>
    <t>RDT2023123629</t>
  </si>
  <si>
    <t>Ms Annabel Botsford</t>
  </si>
  <si>
    <t>annabelbotsford.2011@my.bristol.ac.uk</t>
  </si>
  <si>
    <t>RDT2023123625</t>
  </si>
  <si>
    <t>Mr Alistair  John Stoker</t>
  </si>
  <si>
    <t>alistair.stoker@btinternet.com,alistair.stoker@btinternet.com</t>
  </si>
  <si>
    <t>RDT2023123618</t>
  </si>
  <si>
    <t>DULMINIE,KosalaG</t>
  </si>
  <si>
    <t>Ms Justina  Chung</t>
  </si>
  <si>
    <t>justinajanechung@gmail.com</t>
  </si>
  <si>
    <t>RDT2023123615</t>
  </si>
  <si>
    <t>Mr Ruchira  Srinivasakrishnan</t>
  </si>
  <si>
    <t>ruchira.srini@gmail.com</t>
  </si>
  <si>
    <t>RDT2023123612</t>
  </si>
  <si>
    <t>KosalaG,SamanthiK</t>
  </si>
  <si>
    <t>Ms Michele  Williams</t>
  </si>
  <si>
    <t>michele@mjwarchitects.com</t>
  </si>
  <si>
    <t>RDT2023123606</t>
  </si>
  <si>
    <t>Ms Lucy Alexandra Findlay</t>
  </si>
  <si>
    <t>lucyalexandrarubinstein@gmail.com</t>
  </si>
  <si>
    <t>RDT2023123602</t>
  </si>
  <si>
    <t>Ms Rohini Farsuram Contractor</t>
  </si>
  <si>
    <t>rohini.contractor@gmail.com</t>
  </si>
  <si>
    <t>RDT2023123595</t>
  </si>
  <si>
    <t>Mr Timothy  Michael Heward James</t>
  </si>
  <si>
    <t>tmhjames@hotmail.com</t>
  </si>
  <si>
    <t>RDT2023123593</t>
  </si>
  <si>
    <t>Mrs Joanna Stuttaford</t>
  </si>
  <si>
    <t>jo.stuttaford@btinternet.com</t>
  </si>
  <si>
    <t>RDT2023123592</t>
  </si>
  <si>
    <t>Ms Carol  Welch</t>
  </si>
  <si>
    <t>Welchc317@yahoo.com</t>
  </si>
  <si>
    <t>RDT2023123589</t>
  </si>
  <si>
    <t>Mr Philip Butterfield</t>
  </si>
  <si>
    <t>philip.butterfield@spherefluidics.com</t>
  </si>
  <si>
    <t>RDT2023123586</t>
  </si>
  <si>
    <t>Ms Frances Elizabeth de Bosdari</t>
  </si>
  <si>
    <t>frances@avalonhouse.co.uk</t>
  </si>
  <si>
    <t>SLIS2023113579</t>
  </si>
  <si>
    <t>Bangladesh</t>
  </si>
  <si>
    <t>Bangladeshi</t>
  </si>
  <si>
    <t>Mr Najib Chowdhury</t>
  </si>
  <si>
    <t>fkc@paperstudio-bd.com</t>
  </si>
  <si>
    <t>RDT2023113571</t>
  </si>
  <si>
    <t>Mr Nicolas Hubener</t>
  </si>
  <si>
    <t>Nico.Huebener@huebener-ag.eu</t>
  </si>
  <si>
    <t>RDT2023113570</t>
  </si>
  <si>
    <t>Mr Robert  Laing</t>
  </si>
  <si>
    <t>robbie_laing@hotmail.co.uk</t>
  </si>
  <si>
    <t>RDT2023113567</t>
  </si>
  <si>
    <t>Mrs Laura  Forbes-Coy</t>
  </si>
  <si>
    <t>laura@forbes-coy.com</t>
  </si>
  <si>
    <t>RDT2023113566</t>
  </si>
  <si>
    <t>Sri Lankan</t>
  </si>
  <si>
    <t>Ms Lahiru Kularatne</t>
  </si>
  <si>
    <t>lahiru@reddottours.com</t>
  </si>
  <si>
    <t>RDT2023113564</t>
  </si>
  <si>
    <t>Ms Anne Furniss</t>
  </si>
  <si>
    <t>annepfurniss@gmail.com</t>
  </si>
  <si>
    <t>RDT2023113562</t>
  </si>
  <si>
    <t>Mrs Marta Bulnes Diez</t>
  </si>
  <si>
    <t>martabulnesdiez@gmail.com</t>
  </si>
  <si>
    <t>SLIS2023113555</t>
  </si>
  <si>
    <t>Netherlands</t>
  </si>
  <si>
    <t>Dutch</t>
  </si>
  <si>
    <t>Mr Josee Koning</t>
  </si>
  <si>
    <t>josee@joseekoning.com</t>
  </si>
  <si>
    <t>RDT2023113554</t>
  </si>
  <si>
    <t>Mrs Caroline Sellon</t>
  </si>
  <si>
    <t>carrie.sellon@googlemail.com</t>
  </si>
  <si>
    <t>RDT2023113552</t>
  </si>
  <si>
    <t>Vietnam</t>
  </si>
  <si>
    <t>Italian</t>
  </si>
  <si>
    <t>Mrs Erika  Stefani</t>
  </si>
  <si>
    <t>erika@tonkintravel.com</t>
  </si>
  <si>
    <t>RDT2023113549</t>
  </si>
  <si>
    <t>India</t>
  </si>
  <si>
    <t>Indian</t>
  </si>
  <si>
    <t>Mrs Deepa Sivakumar</t>
  </si>
  <si>
    <t>elricka@gmail.com</t>
  </si>
  <si>
    <t>RDT2023113544</t>
  </si>
  <si>
    <t>Mr Tomaso Cairoli</t>
  </si>
  <si>
    <t>tomasocairoli@gmail.com</t>
  </si>
  <si>
    <t>RDT2023113540</t>
  </si>
  <si>
    <t>Ms Stacey Clarke</t>
  </si>
  <si>
    <t>stacey@b2cfurniture.com.au,stacey@b2cfurniture.com.au</t>
  </si>
  <si>
    <t>RDT2023113535</t>
  </si>
  <si>
    <t>Mrs Angela Arnell Smith</t>
  </si>
  <si>
    <t>angelaarnellsmith@gmail.com</t>
  </si>
  <si>
    <t>RDT2023113531</t>
  </si>
  <si>
    <t>Mr Frederick  Roy Kharkongor</t>
  </si>
  <si>
    <t>freddyroy2000@gmail.com</t>
  </si>
  <si>
    <t>RDT2023113529</t>
  </si>
  <si>
    <t>Mrs Rachel  Martin</t>
  </si>
  <si>
    <t>bertraq2@gmail.com</t>
  </si>
  <si>
    <t>RDT2023113528</t>
  </si>
  <si>
    <t>Mr Ben  Hastings</t>
  </si>
  <si>
    <t>benhastings77@gmail.com</t>
  </si>
  <si>
    <t>RDT2023113527</t>
  </si>
  <si>
    <t>Mr IAN  WATTERS</t>
  </si>
  <si>
    <t>Igw_uk@yahoo.co.uk</t>
  </si>
  <si>
    <t>RDT2023113524</t>
  </si>
  <si>
    <t>Ms Gina  Marie Paoloni</t>
  </si>
  <si>
    <t>gina@gpgconceptsllc.com</t>
  </si>
  <si>
    <t>RDT2023113523</t>
  </si>
  <si>
    <t>RDT2023113522</t>
  </si>
  <si>
    <t>Ireland</t>
  </si>
  <si>
    <t>Irish</t>
  </si>
  <si>
    <t>Mrs Susan  Patricia Mosse</t>
  </si>
  <si>
    <t>suemosse@gmail.com</t>
  </si>
  <si>
    <t>RDT2023113518</t>
  </si>
  <si>
    <t>Ms Tanya Alvarez</t>
  </si>
  <si>
    <t>tan_812001@yahoo.co.uk</t>
  </si>
  <si>
    <t>RDT2023113512</t>
  </si>
  <si>
    <t>Mr Peter Wickham</t>
  </si>
  <si>
    <t>pdwickham@gmail.com</t>
  </si>
  <si>
    <t>RDT2023113511</t>
  </si>
  <si>
    <t>Mrs Sharon Louise  McDaid</t>
  </si>
  <si>
    <t>louise.mcdaid20@gmail.com</t>
  </si>
  <si>
    <t>RDT2023113500</t>
  </si>
  <si>
    <t>Ms Elizabeth Rupp</t>
  </si>
  <si>
    <t>lizarupp@gmail.com</t>
  </si>
  <si>
    <t>RDT2023113499</t>
  </si>
  <si>
    <t>Mrs Anne  Gault</t>
  </si>
  <si>
    <t>aeggault@yahoo.co.uk</t>
  </si>
  <si>
    <t>RDT2023113484</t>
  </si>
  <si>
    <t>Mr Richard  Charles Archer Blacker</t>
  </si>
  <si>
    <t>Richard.blacker@btinternet.com</t>
  </si>
  <si>
    <t>RDT2023113470</t>
  </si>
  <si>
    <t>Mrs Ann Clegg</t>
  </si>
  <si>
    <t>annclegg21@aol.com</t>
  </si>
  <si>
    <t>SLIS2023113467</t>
  </si>
  <si>
    <t>Mr Robert  Poulson</t>
  </si>
  <si>
    <t>poulson1@yahoo.com</t>
  </si>
  <si>
    <t>RDT2023113466</t>
  </si>
  <si>
    <t>Mr Duncan  Vere Green</t>
  </si>
  <si>
    <t>duncanveregreen@gmail.com</t>
  </si>
  <si>
    <t>RDT2023113458</t>
  </si>
  <si>
    <t>France</t>
  </si>
  <si>
    <t>French</t>
  </si>
  <si>
    <t>Mr Stephen  Alderton</t>
  </si>
  <si>
    <t>stephen.alderton@wanadoo.fr</t>
  </si>
  <si>
    <t>RDT2023103452</t>
  </si>
  <si>
    <t>Mr Keir  Bass</t>
  </si>
  <si>
    <t>Keir.bass@gmail.com</t>
  </si>
  <si>
    <t>SLIS2023103450</t>
  </si>
  <si>
    <t>Portugal</t>
  </si>
  <si>
    <t>Portuguese</t>
  </si>
  <si>
    <t>Mrs Jasmine Lazzari</t>
  </si>
  <si>
    <t>jasminexlazzari@gmail.com</t>
  </si>
  <si>
    <t>RDT2023103448</t>
  </si>
  <si>
    <t>Mr Dinusha Kularatne</t>
  </si>
  <si>
    <t>dinusha@sent.com</t>
  </si>
  <si>
    <t>RDT2023103447</t>
  </si>
  <si>
    <t>fam</t>
  </si>
  <si>
    <t>Ms Dulmini Ekanayake</t>
  </si>
  <si>
    <t>dulmini@reddottours.com</t>
  </si>
  <si>
    <t>RDT2023103445</t>
  </si>
  <si>
    <t>Mrs Amanda  Jane Inglis</t>
  </si>
  <si>
    <t>amanda.inglis@sky.com</t>
  </si>
  <si>
    <t>RDT2023103433</t>
  </si>
  <si>
    <t>Mr Hugh Cocke</t>
  </si>
  <si>
    <t>hdcocke@gmail.com</t>
  </si>
  <si>
    <t>SLIS2023103431</t>
  </si>
  <si>
    <t>Ms Marisa Perry</t>
  </si>
  <si>
    <t>Marisa.perry@accenture.com</t>
  </si>
  <si>
    <t>RDT2023103428</t>
  </si>
  <si>
    <t>Mr Michael  Feben Smith</t>
  </si>
  <si>
    <t>febensmith@aol.com</t>
  </si>
  <si>
    <t>RDT2023103423</t>
  </si>
  <si>
    <t>Mrs Jane Elizabeth Beere</t>
  </si>
  <si>
    <t>jane.beere@btinternet.com,jane.beere@btinternet.com</t>
  </si>
  <si>
    <t>RDT2023103415</t>
  </si>
  <si>
    <t>Mexico</t>
  </si>
  <si>
    <t>Mexican</t>
  </si>
  <si>
    <t>Mr Ramon SANTOYO</t>
  </si>
  <si>
    <t>rsantoyov@gmail.com</t>
  </si>
  <si>
    <t>SLIS2023103410</t>
  </si>
  <si>
    <t>KosalaG,Nicolaw</t>
  </si>
  <si>
    <t>Denmark</t>
  </si>
  <si>
    <t>Danish</t>
  </si>
  <si>
    <t>Mrs Theresa  Mathiesen</t>
  </si>
  <si>
    <t>theresa.mathiesen@gmail.com</t>
  </si>
  <si>
    <t>RDT2023103405</t>
  </si>
  <si>
    <t>Argentina</t>
  </si>
  <si>
    <t>Mr Michael Castree</t>
  </si>
  <si>
    <t>Mike@castree.online</t>
  </si>
  <si>
    <t>GBP</t>
  </si>
  <si>
    <t>RDT2023103403</t>
  </si>
  <si>
    <t>Mr Martin  Thomas</t>
  </si>
  <si>
    <t>thomasmd@btinternet.com</t>
  </si>
  <si>
    <t>SLIS2023103397</t>
  </si>
  <si>
    <t>Mr Hugh  Apthorp</t>
  </si>
  <si>
    <t>hapthorp@aol.com</t>
  </si>
  <si>
    <t>RDT2023103395</t>
  </si>
  <si>
    <t>Mrs Grace Howe</t>
  </si>
  <si>
    <t>gracemyhowe@icloud.com</t>
  </si>
  <si>
    <t>SLIS2023103393</t>
  </si>
  <si>
    <t>NURIAF</t>
  </si>
  <si>
    <t>Spanish</t>
  </si>
  <si>
    <t>Ms MARIA DE LAS MERCEDES MAROTO</t>
  </si>
  <si>
    <t>mercedesmaroto84@hotmail.com</t>
  </si>
  <si>
    <t>RDT2023103390</t>
  </si>
  <si>
    <t>Mr Jonathan  Denny</t>
  </si>
  <si>
    <t>jonathandenny10@gmail.com</t>
  </si>
  <si>
    <t>SLIS2023103386</t>
  </si>
  <si>
    <t>Mrs Patricia  Hopkins</t>
  </si>
  <si>
    <t>abigail.hopkins@saneihopkins.co.uk</t>
  </si>
  <si>
    <t>RDT2023103385</t>
  </si>
  <si>
    <t>referral program - yaluwo</t>
  </si>
  <si>
    <t>RDT2023103381</t>
  </si>
  <si>
    <t>Mr Mark  Ralph Harold Gardner</t>
  </si>
  <si>
    <t>MGARD757@gmail.com</t>
  </si>
  <si>
    <t>RDT2023103379</t>
  </si>
  <si>
    <t>Ms Stephanie Brain</t>
  </si>
  <si>
    <t>bstephanie@tutanota.com</t>
  </si>
  <si>
    <t>SLIS2023103376</t>
  </si>
  <si>
    <t>Mrs Janet Heininger</t>
  </si>
  <si>
    <t>janet.heininger@gmail.com</t>
  </si>
  <si>
    <t>RDT2023103375</t>
  </si>
  <si>
    <t>Mr Federico  Montella</t>
  </si>
  <si>
    <t>EDEMONTELLA@GMAIL.COM</t>
  </si>
  <si>
    <t>RDT2023103374</t>
  </si>
  <si>
    <t>Mrs Madeleine  Honey</t>
  </si>
  <si>
    <t>madeleinehoney88@gmail.com</t>
  </si>
  <si>
    <t>RDT2023103372</t>
  </si>
  <si>
    <t>Mr John  Denning</t>
  </si>
  <si>
    <t>Johndenning@msn.com</t>
  </si>
  <si>
    <t>RDT2023103360</t>
  </si>
  <si>
    <t>Mr David  Eric Griffith-Jones</t>
  </si>
  <si>
    <t>griffithjones@btinternet.com</t>
  </si>
  <si>
    <t>RDT2023103356</t>
  </si>
  <si>
    <t>Mrs Fiona  Jones</t>
  </si>
  <si>
    <t>Fionajones67@outlook.com</t>
  </si>
  <si>
    <t>RDT2023103348</t>
  </si>
  <si>
    <t>Mr Richard  Peter Wallace</t>
  </si>
  <si>
    <t>rpwallace@gmail.com</t>
  </si>
  <si>
    <t>RDT2023093343</t>
  </si>
  <si>
    <t>Mrs Fiona  Perrin</t>
  </si>
  <si>
    <t>fionajperrin@gmail.com</t>
  </si>
  <si>
    <t>RDT2023093338</t>
  </si>
  <si>
    <t>Mrs Natalia Prakash</t>
  </si>
  <si>
    <t>nspsian@gmail.com</t>
  </si>
  <si>
    <t>RDT2023093337</t>
  </si>
  <si>
    <t>Mrs Georgina  Mary Victoria Stanley</t>
  </si>
  <si>
    <t>georgina@merricot.com</t>
  </si>
  <si>
    <t>SLIS2023093334</t>
  </si>
  <si>
    <t>Mrs Carol  T Kabel</t>
  </si>
  <si>
    <t>ctkabel@gmail.com</t>
  </si>
  <si>
    <t>RDT2023093333</t>
  </si>
  <si>
    <t>Mr Rohan  Seneka Weerasinghe</t>
  </si>
  <si>
    <t>rsweerasi@gmail.com</t>
  </si>
  <si>
    <t>RDT2023093320</t>
  </si>
  <si>
    <t>Ms Elizabeth  Durfee Hengen</t>
  </si>
  <si>
    <t>ehengen@gmail.com</t>
  </si>
  <si>
    <t>RDT2023093317</t>
  </si>
  <si>
    <t>Mr Alan  Smith</t>
  </si>
  <si>
    <t>RDT2023093316</t>
  </si>
  <si>
    <t>Mr Peter Dyson</t>
  </si>
  <si>
    <t>pedrobattle@tiscali.co.uk</t>
  </si>
  <si>
    <t>RDT2023093306</t>
  </si>
  <si>
    <t>Mrs Sarah  Ritchie</t>
  </si>
  <si>
    <t>sarahritchie01@gmail.com</t>
  </si>
  <si>
    <t>RDT2023093304</t>
  </si>
  <si>
    <t>Mrs Jacqueline  Wallace-Jones</t>
  </si>
  <si>
    <t>wallacejones@escapetogascony.com</t>
  </si>
  <si>
    <t>RDT2023093300</t>
  </si>
  <si>
    <t>Mr Anthony  Phillips</t>
  </si>
  <si>
    <t>anthony@anthonyphillipscp.com</t>
  </si>
  <si>
    <t>SLIS2023093293</t>
  </si>
  <si>
    <t>Mrs Alice  Garnett</t>
  </si>
  <si>
    <t>alice.garnett@btinternet.com</t>
  </si>
  <si>
    <t>RDT2023093291</t>
  </si>
  <si>
    <t>Mr Thomas  Wagner</t>
  </si>
  <si>
    <t>wagner@wmp.mx</t>
  </si>
  <si>
    <t>RDT2023093289</t>
  </si>
  <si>
    <t>Mr Janaka Devasurendra</t>
  </si>
  <si>
    <t>janaka@keminexports.com</t>
  </si>
  <si>
    <t>RDT2023093287</t>
  </si>
  <si>
    <t>Ms Katherine  Sheets</t>
  </si>
  <si>
    <t>Blair.sheets@gmail.com</t>
  </si>
  <si>
    <t>RDT2023093286</t>
  </si>
  <si>
    <t>Mr Ari Shainfeld</t>
  </si>
  <si>
    <t>solomonsyael@gmail.com</t>
  </si>
  <si>
    <t>RDT2023093284</t>
  </si>
  <si>
    <t>Mrs Alison Grime</t>
  </si>
  <si>
    <t>alisong71@live.co.uk</t>
  </si>
  <si>
    <t>RDT2023093282</t>
  </si>
  <si>
    <t>Mrs Jeannine   Coyne</t>
  </si>
  <si>
    <t>Jeanninemcoyne@outlook.com</t>
  </si>
  <si>
    <t>RDT2023093271</t>
  </si>
  <si>
    <t>Mrs Sylvia Alison Klays</t>
  </si>
  <si>
    <t>vjklays@gmail.com</t>
  </si>
  <si>
    <t>RDT2023093268</t>
  </si>
  <si>
    <t>Mr John   Joseph Bennett</t>
  </si>
  <si>
    <t>jbennettinbox@hotmail.com,jbennettinbox@hotmail.com</t>
  </si>
  <si>
    <t>SLIS2023093263</t>
  </si>
  <si>
    <t>Finland</t>
  </si>
  <si>
    <t>Mr Henrik Chapelle</t>
  </si>
  <si>
    <t>henrik.dlc@kolumbus.fi</t>
  </si>
  <si>
    <t>RDT2023083256</t>
  </si>
  <si>
    <t>Mr Harold  John Shirley</t>
  </si>
  <si>
    <t>harryjs88@gmail.com</t>
  </si>
  <si>
    <t>RDT2023083248</t>
  </si>
  <si>
    <t>Ms Shannon  Rainey</t>
  </si>
  <si>
    <t>shannonrainey@hotmail.co.uk</t>
  </si>
  <si>
    <t>RDT2023083243</t>
  </si>
  <si>
    <t>RDT2023083242</t>
  </si>
  <si>
    <t>DulminiE</t>
  </si>
  <si>
    <t>Ms Catherine  Pritchard</t>
  </si>
  <si>
    <t>catherine.pritchard@hotmail.com</t>
  </si>
  <si>
    <t>RDT2023083240</t>
  </si>
  <si>
    <t>Mr Alejandro  Gaona</t>
  </si>
  <si>
    <t>alex.j.gaona@gmail.com</t>
  </si>
  <si>
    <t>RDT2023083239</t>
  </si>
  <si>
    <t>Mr Andrew Court</t>
  </si>
  <si>
    <t>andrewcourt16@gmail.com</t>
  </si>
  <si>
    <t>RDT2023083238</t>
  </si>
  <si>
    <t>Mr Rohit Jain</t>
  </si>
  <si>
    <t>rojain80@hotmail.com</t>
  </si>
  <si>
    <t>RDT2023083233</t>
  </si>
  <si>
    <t>Mr Philip  Lius Ralli</t>
  </si>
  <si>
    <t>phil.ralli@hotmail.com</t>
  </si>
  <si>
    <t>RDT2023083232</t>
  </si>
  <si>
    <t>Mrs Johanna Mary  Morrissey</t>
  </si>
  <si>
    <t>jojomorrissey1@gmail.com</t>
  </si>
  <si>
    <t>RDT2023083228</t>
  </si>
  <si>
    <t>Ms Vanessa  Ibsch</t>
  </si>
  <si>
    <t>vibsch@msn.com</t>
  </si>
  <si>
    <t>RDT2023083222</t>
  </si>
  <si>
    <t>Ms Jacqueline  Britto</t>
  </si>
  <si>
    <t>Britto.jec@gmail.com</t>
  </si>
  <si>
    <t>RDT2023083216</t>
  </si>
  <si>
    <t>Ms Anjalie Tilakaratne</t>
  </si>
  <si>
    <t>RDT2023083215</t>
  </si>
  <si>
    <t>Mrs Elizabeth  Hockney</t>
  </si>
  <si>
    <t>elizabeth@hockney.me.uk</t>
  </si>
  <si>
    <t>RDT2023083214</t>
  </si>
  <si>
    <t>Mrs  Clare  Elizabeth Travers</t>
  </si>
  <si>
    <t>claretravers56@btinternet.com</t>
  </si>
  <si>
    <t>RDT2023083207</t>
  </si>
  <si>
    <t>Mr Peter  Edwin Kindred</t>
  </si>
  <si>
    <t>peter.kindred@bigpond.com</t>
  </si>
  <si>
    <t>SLIS2023083206</t>
  </si>
  <si>
    <t>Mrs Pamela Baltman</t>
  </si>
  <si>
    <t>pam@tealake.com</t>
  </si>
  <si>
    <t>RDT2023083203</t>
  </si>
  <si>
    <t>Mrs Rachel  Richards</t>
  </si>
  <si>
    <t>racherichards@btinternet.com</t>
  </si>
  <si>
    <t>RDT2023083201</t>
  </si>
  <si>
    <t>Mr Bruce  Davies</t>
  </si>
  <si>
    <t>RDT2023083199</t>
  </si>
  <si>
    <t>Mr Rajiv Chopra</t>
  </si>
  <si>
    <t>tourmastersindia@gmail.com</t>
  </si>
  <si>
    <t>RDT2023083196</t>
  </si>
  <si>
    <t>Mrs Carole  Cummings</t>
  </si>
  <si>
    <t>carolecummings12@gmail.com,carolecummings12@gmail.com</t>
  </si>
  <si>
    <t>SLIS2023083194</t>
  </si>
  <si>
    <t>Mrs Mutin Mutin</t>
  </si>
  <si>
    <t>jmutin@gmail.com</t>
  </si>
  <si>
    <t>RDT2023083188</t>
  </si>
  <si>
    <t>Mr Jonathan  Booth</t>
  </si>
  <si>
    <t>jonathan.booth385@gmail.com</t>
  </si>
  <si>
    <t>SLIS2023083186</t>
  </si>
  <si>
    <t>Mrs Stephanie Shephard</t>
  </si>
  <si>
    <t>swshephard@gmail.com</t>
  </si>
  <si>
    <t>RDT2023073182</t>
  </si>
  <si>
    <t>Ms Delvene  Dianne Neilson</t>
  </si>
  <si>
    <t>Delvene.neilson@gmail.com</t>
  </si>
  <si>
    <t>RDT2023073173</t>
  </si>
  <si>
    <t>Ms Hannah  Anne Williams</t>
  </si>
  <si>
    <t>hwilliams88@hotmail.co.uk</t>
  </si>
  <si>
    <t>RDT2023073165</t>
  </si>
  <si>
    <t>Mrs Logeswary  Devendran</t>
  </si>
  <si>
    <t>Nipun.desilva@outlook.com</t>
  </si>
  <si>
    <t>RDT2023073164</t>
  </si>
  <si>
    <t>Ms Janice  Ashdown</t>
  </si>
  <si>
    <t>janice.ashdown@icloud.com</t>
  </si>
  <si>
    <t>RDT2023073163</t>
  </si>
  <si>
    <t>Mrs Joanne Pavendranathan</t>
  </si>
  <si>
    <t>jolchambers@yahoo.com.au</t>
  </si>
  <si>
    <t>RDT2023073162</t>
  </si>
  <si>
    <t>Mr Philip Timothy  Gault</t>
  </si>
  <si>
    <t>philgault64@gmail.com</t>
  </si>
  <si>
    <t>RDT2023073161</t>
  </si>
  <si>
    <t>Ms Karishma  Issrani</t>
  </si>
  <si>
    <t>karishma.israni@gmail.com</t>
  </si>
  <si>
    <t>RDT2023073151</t>
  </si>
  <si>
    <t>Mr Daniel  Messer</t>
  </si>
  <si>
    <t>info@playmotion.co.uk</t>
  </si>
  <si>
    <t>RDT2023073145</t>
  </si>
  <si>
    <t>Ms Elizabeth Baldwin</t>
  </si>
  <si>
    <t>lbaldwin@fhi360.org</t>
  </si>
  <si>
    <t>RDT2023073144</t>
  </si>
  <si>
    <t>Ms Moira Leaney</t>
  </si>
  <si>
    <t>moiraleaney1@gmail.com</t>
  </si>
  <si>
    <t>RDT2023073141</t>
  </si>
  <si>
    <t>Mr James  Smillie</t>
  </si>
  <si>
    <t>Jamescsmillie@hotmail.co.uk</t>
  </si>
  <si>
    <t>RDT2023073135</t>
  </si>
  <si>
    <t>Mr Matthew Jones</t>
  </si>
  <si>
    <t>mattjonesy@hotmail.com</t>
  </si>
  <si>
    <t>RDT2023073128</t>
  </si>
  <si>
    <t>Mrs Vicki Alison Parker</t>
  </si>
  <si>
    <t>vickiaparker5@gmail.com</t>
  </si>
  <si>
    <t>SLIS2023073126</t>
  </si>
  <si>
    <t>Mrs Rochelle  Neel Chhaya</t>
  </si>
  <si>
    <t>Rochelle.chhaya@gmail.com</t>
  </si>
  <si>
    <t>RDT2023073125</t>
  </si>
  <si>
    <t>Mr Henry  Birch</t>
  </si>
  <si>
    <t>Hbirchuk@gmail.com</t>
  </si>
  <si>
    <t>RDT2023073124</t>
  </si>
  <si>
    <t>Ms Nicole Morrison</t>
  </si>
  <si>
    <t>nicoleamorrison12@gmail.com</t>
  </si>
  <si>
    <t>SLIS2023073119</t>
  </si>
  <si>
    <t>Mr Chris Dixon</t>
  </si>
  <si>
    <t>bandit101098@gmail.com</t>
  </si>
  <si>
    <t>RDT2023073114</t>
  </si>
  <si>
    <t>Mr Ian Weighell</t>
  </si>
  <si>
    <t>Lisa.snowball@gmail.com</t>
  </si>
  <si>
    <t>RDT2023073110</t>
  </si>
  <si>
    <t>Mr Marcus Goodbody</t>
  </si>
  <si>
    <t>marcusdgoodbody@gmail.com</t>
  </si>
  <si>
    <t>RDT2023073104</t>
  </si>
  <si>
    <t>Mrs Rebecca White</t>
  </si>
  <si>
    <t>rebeccalouwhite@gmail.com</t>
  </si>
  <si>
    <t>RDT2023063099</t>
  </si>
  <si>
    <t>Mrs Joanne  Rogers</t>
  </si>
  <si>
    <t>Jo.Rogers@enpure.co.uk</t>
  </si>
  <si>
    <t>RDT2023063096</t>
  </si>
  <si>
    <t>Mr Roy  Anthony Lawrance</t>
  </si>
  <si>
    <t>roylawrance@talktalk.net</t>
  </si>
  <si>
    <t>RDT2023063095</t>
  </si>
  <si>
    <t>Ms Nicola  Grace Niblock</t>
  </si>
  <si>
    <t>ngniblock@outlook.com</t>
  </si>
  <si>
    <t>RDT2023063094</t>
  </si>
  <si>
    <t>Mr Robert  Miles</t>
  </si>
  <si>
    <t>rjmiles1@outlook.com</t>
  </si>
  <si>
    <t>RDT2023063089</t>
  </si>
  <si>
    <t>Mr William Bourke</t>
  </si>
  <si>
    <t>williamdeburca@hotmail.com</t>
  </si>
  <si>
    <t>SLIS2023063084</t>
  </si>
  <si>
    <t>Spain</t>
  </si>
  <si>
    <t>Mrs ANA LORANCA</t>
  </si>
  <si>
    <t>a.lorancamiranda@gmail.com</t>
  </si>
  <si>
    <t>SLIS2023063083</t>
  </si>
  <si>
    <t>New Zealand</t>
  </si>
  <si>
    <t>New Zealander</t>
  </si>
  <si>
    <t>Ms Amelia O Brien</t>
  </si>
  <si>
    <t>the_obriens@xtra.co.Nz</t>
  </si>
  <si>
    <t>RDT2023063080</t>
  </si>
  <si>
    <t>Mr Tom Martin</t>
  </si>
  <si>
    <t>tmartinrg14@gmail.com</t>
  </si>
  <si>
    <t>RDT2023063079</t>
  </si>
  <si>
    <t>Ms Aliza Ratnayaka</t>
  </si>
  <si>
    <t>aliza.ratnayaka@yahoo.com</t>
  </si>
  <si>
    <t>RDT2023063071</t>
  </si>
  <si>
    <t>Ms Kelly  Rafter</t>
  </si>
  <si>
    <t>wearekellyandsteve@gmail.com</t>
  </si>
  <si>
    <t>RDT2023063069</t>
  </si>
  <si>
    <t>Ms Martha    Fiona Korwin-Pawlowski Ryan</t>
  </si>
  <si>
    <t>fionakp@gmail.com rratnam@endeavorco.com</t>
  </si>
  <si>
    <t>SLIS2023063066</t>
  </si>
  <si>
    <t>samanthik</t>
  </si>
  <si>
    <t>Mr Shasti Smith</t>
  </si>
  <si>
    <t>shasti_smith@hotmail.com</t>
  </si>
  <si>
    <t>RDT2023063060</t>
  </si>
  <si>
    <t>LahiruK</t>
  </si>
  <si>
    <t>Mr Stephen  Paul Southward</t>
  </si>
  <si>
    <t>one—stephen.southward@nhs.net</t>
  </si>
  <si>
    <t>SLIS2023063055</t>
  </si>
  <si>
    <t>Ms LLOYD ROBYN  DALLAS</t>
  </si>
  <si>
    <t>LLOYDRD99@GMAIL.COM</t>
  </si>
  <si>
    <t>RDT2023063054</t>
  </si>
  <si>
    <t>Mr Alexei Metcalf</t>
  </si>
  <si>
    <t>76sgroad@gmail.com</t>
  </si>
  <si>
    <t>RDT2023063053</t>
  </si>
  <si>
    <t>Mr Donovan  Abeyewardene</t>
  </si>
  <si>
    <t>donovan@srilankainstyle.com</t>
  </si>
  <si>
    <t>RDT2023063048</t>
  </si>
  <si>
    <t>Ms Jane      Smith</t>
  </si>
  <si>
    <t>jane.smith5000@ntlworld.com</t>
  </si>
  <si>
    <t>RDT2023063047</t>
  </si>
  <si>
    <t>Mrs Hilary Johnson</t>
  </si>
  <si>
    <t>hilsjohnson@hotmail.com</t>
  </si>
  <si>
    <t>RDT2023063043</t>
  </si>
  <si>
    <t>Ms Renuka Harris</t>
  </si>
  <si>
    <t>drcjharris@rogers.com</t>
  </si>
  <si>
    <t>RDT2023063030</t>
  </si>
  <si>
    <t>Ms Jasmynne Bushrod</t>
  </si>
  <si>
    <t>jasmynne.bushrod@gmail.com,jasmynne.bushrod@gmail.com</t>
  </si>
  <si>
    <t>RDT2023063029</t>
  </si>
  <si>
    <t>Mrs Stephanie Kay</t>
  </si>
  <si>
    <t>stephaniekay01@aol.com</t>
  </si>
  <si>
    <t>RDT2023063028</t>
  </si>
  <si>
    <t>Mr Abdul Ferdous</t>
  </si>
  <si>
    <t>ace2k7@hotmail.com</t>
  </si>
  <si>
    <t>RDT2023063027</t>
  </si>
  <si>
    <t>Mr Nicholas Carter</t>
  </si>
  <si>
    <t>nicholascarter714@icloud.com</t>
  </si>
  <si>
    <t>RDT2023063024</t>
  </si>
  <si>
    <t>Mr Trevor Magaziner</t>
  </si>
  <si>
    <t>pearltyba@aol.com</t>
  </si>
  <si>
    <t>RDT2023053018</t>
  </si>
  <si>
    <t>Mrs Andrea Muirhead</t>
  </si>
  <si>
    <t>andreamuirhead1@gmail.com</t>
  </si>
  <si>
    <t>RDT2023053017</t>
  </si>
  <si>
    <t>Ms Karla  Yetunde Murray-Bruce</t>
  </si>
  <si>
    <t>karla2691@googlemail.com</t>
  </si>
  <si>
    <t>RDT2023053015</t>
  </si>
  <si>
    <t>Mrs Catherine O&amp;rsquo;Hanlon</t>
  </si>
  <si>
    <t>catie_halliday@hotmail.com</t>
  </si>
  <si>
    <t>SLIS2023053000</t>
  </si>
  <si>
    <t>Ms GRACIA SIERRA</t>
  </si>
  <si>
    <t>gsierrasierra@yahoo.com.ar</t>
  </si>
  <si>
    <t>RDT2023052997</t>
  </si>
  <si>
    <t>Mr John  Robert Picton Turbervill</t>
  </si>
  <si>
    <t>johnturbervill@gmail.com</t>
  </si>
  <si>
    <t>RDT2023052995</t>
  </si>
  <si>
    <t>Mr Tivanka Prinith Senanayake</t>
  </si>
  <si>
    <t>tivandemma@gmail.com</t>
  </si>
  <si>
    <t>RDT2023052988</t>
  </si>
  <si>
    <t>Mr Malcolm Roberts</t>
  </si>
  <si>
    <t>mickrroberts@sky.com</t>
  </si>
  <si>
    <t>SLIS2023052983</t>
  </si>
  <si>
    <t>DonovanA</t>
  </si>
  <si>
    <t>Mrs Charlotte Lepp</t>
  </si>
  <si>
    <t>clepp@leppfarmmarket.com</t>
  </si>
  <si>
    <t>RDT2023052982</t>
  </si>
  <si>
    <t>Mrs Vivien  Leslie</t>
  </si>
  <si>
    <t>moatend@me.com</t>
  </si>
  <si>
    <t>RDT2023052981</t>
  </si>
  <si>
    <t>SLIS2023052967</t>
  </si>
  <si>
    <t>nicolaw</t>
  </si>
  <si>
    <t>Mrs Nita Taublib</t>
  </si>
  <si>
    <t>ntaublib@gmail.com</t>
  </si>
  <si>
    <t>SLIS2023052966</t>
  </si>
  <si>
    <t>Mrs Priscilla Eakeley</t>
  </si>
  <si>
    <t>peakeley@gmail.com</t>
  </si>
  <si>
    <t>RDT2023052961</t>
  </si>
  <si>
    <t>Mrs Chenali  Senanayake</t>
  </si>
  <si>
    <t>chenalisenanayake@hotmail.co.uk</t>
  </si>
  <si>
    <t>RDT2023052953</t>
  </si>
  <si>
    <t>Mr Andrew  James Hackett</t>
  </si>
  <si>
    <t>andrew.hackett@hotmail.co.uk</t>
  </si>
  <si>
    <t>RDT2023052945</t>
  </si>
  <si>
    <t>Ms Chenali  Senanayake</t>
  </si>
  <si>
    <t>RDT2023052944</t>
  </si>
  <si>
    <t>Dr Awais Alvi</t>
  </si>
  <si>
    <t>awaisalvi@hotmail.com</t>
  </si>
  <si>
    <t>SLIS2023052943</t>
  </si>
  <si>
    <t>Mrs Rebecca Browning</t>
  </si>
  <si>
    <t>rebeccahbrowning@yahoo.com</t>
  </si>
  <si>
    <t>RDT2023052940</t>
  </si>
  <si>
    <t>Mr Raja  Saggi</t>
  </si>
  <si>
    <t>rajasaggi@gmail.com</t>
  </si>
  <si>
    <t>RDT2023042930</t>
  </si>
  <si>
    <t>Mr Muhammad Afdhel Aziz</t>
  </si>
  <si>
    <t>afdhelaziz@gmail.com</t>
  </si>
  <si>
    <t>RDT2023042926</t>
  </si>
  <si>
    <t>Mrs Isabel Hemmings</t>
  </si>
  <si>
    <t>isabelhemmings@yahoo.co.uk</t>
  </si>
  <si>
    <t>RDT2023042922</t>
  </si>
  <si>
    <t>Mr Nicholas  Timur Ghiacy</t>
  </si>
  <si>
    <t>nickghiacy@me.com</t>
  </si>
  <si>
    <t>SLIS2023042918</t>
  </si>
  <si>
    <t>Mr Ishan Handa</t>
  </si>
  <si>
    <t>handa.ishan@gmail.com</t>
  </si>
  <si>
    <t>SLIS2023042915</t>
  </si>
  <si>
    <t>Mr Anthony Wickham</t>
  </si>
  <si>
    <t>anthony@wickham.co.uk</t>
  </si>
  <si>
    <t>RDT2023042909</t>
  </si>
  <si>
    <t>Mr Steven  Vale</t>
  </si>
  <si>
    <t>steven_vale@sky.com</t>
  </si>
  <si>
    <t>RDT2023042904</t>
  </si>
  <si>
    <t>United Arab Emirates</t>
  </si>
  <si>
    <t>Syrian Arab Republic</t>
  </si>
  <si>
    <t>Ms Rola  Dabbagh Homsi</t>
  </si>
  <si>
    <t>rola@grubtech.com</t>
  </si>
  <si>
    <t>RDT2023042899</t>
  </si>
  <si>
    <t>Mr Geoffrey  White</t>
  </si>
  <si>
    <t>geoffjwhite@googlemail.com</t>
  </si>
  <si>
    <t>RDT2023042892</t>
  </si>
  <si>
    <t>Mr Jonathan Harry Jenkins</t>
  </si>
  <si>
    <t>jjenkins@choirschool.com</t>
  </si>
  <si>
    <t>SLIS2023042887</t>
  </si>
  <si>
    <t>Ms Sophie  Jacob</t>
  </si>
  <si>
    <t>sophieisabeljacob@gmail.com</t>
  </si>
  <si>
    <t>SLIS2023042885</t>
  </si>
  <si>
    <t>Mrs CATHERINE LA GORGUE DE ROSNY</t>
  </si>
  <si>
    <t>cderosny@orange.fr</t>
  </si>
  <si>
    <t>SLIS2023042883</t>
  </si>
  <si>
    <t>Mrs SILVIA  DIAZ FRANCHI</t>
  </si>
  <si>
    <t>silviadfranchy@gmail.com</t>
  </si>
  <si>
    <t>SLIS2023042879</t>
  </si>
  <si>
    <t>Mr Cuqui Silva</t>
  </si>
  <si>
    <t>cuqui.silvatoldao@gmail.com</t>
  </si>
  <si>
    <t>RDT2023042873</t>
  </si>
  <si>
    <t>Mrs Jane Benney</t>
  </si>
  <si>
    <t>jane.benney@gmail.com</t>
  </si>
  <si>
    <t>SLIS2023032857</t>
  </si>
  <si>
    <t>Mr Arul  Kanagarajah</t>
  </si>
  <si>
    <t>aganeshan@hotmail.com</t>
  </si>
  <si>
    <t>RDT2023032852</t>
  </si>
  <si>
    <t>Mrs Patricia  Rolt</t>
  </si>
  <si>
    <t>roltp@hotmail.com</t>
  </si>
  <si>
    <t>RDT2023032851</t>
  </si>
  <si>
    <t>Mr Allan Mustafa</t>
  </si>
  <si>
    <t>seap-one@live.com</t>
  </si>
  <si>
    <t>RDT2023032844</t>
  </si>
  <si>
    <t>Ms Lucille  De Silva</t>
  </si>
  <si>
    <t>lucilledesilva@icloud.com</t>
  </si>
  <si>
    <t>RDT2023032839</t>
  </si>
  <si>
    <t>Mr Ashan Wijewickrema</t>
  </si>
  <si>
    <t>ashan@reddottours.com</t>
  </si>
  <si>
    <t>LKR</t>
  </si>
  <si>
    <t>SLIS2023032831</t>
  </si>
  <si>
    <t>Mr Israel Shaked</t>
  </si>
  <si>
    <t>ishaked@michel-shaked.com</t>
  </si>
  <si>
    <t>RDT2023032830</t>
  </si>
  <si>
    <t>Mr David  Edwin Jeyakumar</t>
  </si>
  <si>
    <t>djeyakumar@gmail.com</t>
  </si>
  <si>
    <t>RDT2023032828</t>
  </si>
  <si>
    <t>Mrs Bernadette             De Silva</t>
  </si>
  <si>
    <t>bernieandrob@ntlworld.com</t>
  </si>
  <si>
    <t>RDT2023032826</t>
  </si>
  <si>
    <t>Ms Elisabeth  Spearing</t>
  </si>
  <si>
    <t>Lizzies100@me.com</t>
  </si>
  <si>
    <t>RDT2023032820</t>
  </si>
  <si>
    <t>Saudi Arabia</t>
  </si>
  <si>
    <t>Mr Ciaran  Crowley</t>
  </si>
  <si>
    <t>Ciarancrowley13@gmail.com</t>
  </si>
  <si>
    <t>SLIS2023032813</t>
  </si>
  <si>
    <t>Mrs Lori Robertson</t>
  </si>
  <si>
    <t>lorirobertson649@gmail.com</t>
  </si>
  <si>
    <t>RDT2023032812</t>
  </si>
  <si>
    <t>RDT2023032810</t>
  </si>
  <si>
    <t>Mrs Jennifer Lindsay-Hoyle</t>
  </si>
  <si>
    <t>jennylh@hotmail.co.uk</t>
  </si>
  <si>
    <t>RDT2023032809</t>
  </si>
  <si>
    <t>Ms Erene Anoma Damayanthie Banks</t>
  </si>
  <si>
    <t>erene_anoma@hotmail.co.uk</t>
  </si>
  <si>
    <t>RDT2023032805</t>
  </si>
  <si>
    <t>Mr Andrew Liss</t>
  </si>
  <si>
    <t>andrewdliss@gmail.com</t>
  </si>
  <si>
    <t>SLIS2023032804</t>
  </si>
  <si>
    <t>Mr Max Planck Foundation Lawyers&amp;#039; Workshop</t>
  </si>
  <si>
    <t>brunn@mpfpr.de</t>
  </si>
  <si>
    <t>SLIS2023032803</t>
  </si>
  <si>
    <t>Mr Max Planck Foundation Judges&amp;#039; Workshop</t>
  </si>
  <si>
    <t>RDT2023032802</t>
  </si>
  <si>
    <t>SLIS2023032801</t>
  </si>
  <si>
    <t>Mr Max Planck Foundation SC Workshop</t>
  </si>
  <si>
    <t>SLIS2023032797</t>
  </si>
  <si>
    <t>Mr Mohan Sivaloganathan</t>
  </si>
  <si>
    <t>m.sivaloganathan@gmail.com</t>
  </si>
  <si>
    <t>RDT2023032794</t>
  </si>
  <si>
    <t>Mr Roger Midwood</t>
  </si>
  <si>
    <t>rnmidwood@gmail.com</t>
  </si>
  <si>
    <t>SLIS2023022784</t>
  </si>
  <si>
    <t>Ms ANA PA&amp;Ntilde;OS CORREAS</t>
  </si>
  <si>
    <t>panosfernandez@hotmail.com</t>
  </si>
  <si>
    <t>RDT2023022778</t>
  </si>
  <si>
    <t>Mrs Phoebe  Samantha Matheson</t>
  </si>
  <si>
    <t>+44 (0) 7825 196 517</t>
  </si>
  <si>
    <t>RDT2023022772</t>
  </si>
  <si>
    <t>Ms Imogen  Stanley</t>
  </si>
  <si>
    <t>imogenstanley@googlemail.com</t>
  </si>
  <si>
    <t>RDT2023022771</t>
  </si>
  <si>
    <t>Mrs Katherine Eisenlohr</t>
  </si>
  <si>
    <t>eisenlohr@gmail.com</t>
  </si>
  <si>
    <t>RDT2023022768</t>
  </si>
  <si>
    <t>Mr Timothy  W.F . Jacobson</t>
  </si>
  <si>
    <t>twf.jacobson@gmail.com</t>
  </si>
  <si>
    <t>RDT2023022759</t>
  </si>
  <si>
    <t>Mrs Camilla                               Louise Sandberg</t>
  </si>
  <si>
    <t>milly@sandberg.co.uk</t>
  </si>
  <si>
    <t>SLIS2023022755</t>
  </si>
  <si>
    <t>Mrs Stefanie Phillips</t>
  </si>
  <si>
    <t>stef.phillips@gmail.com</t>
  </si>
  <si>
    <t>SLIS2023022754</t>
  </si>
  <si>
    <t>Mr Ben Summerfield</t>
  </si>
  <si>
    <t>bensumms1@gmail.com</t>
  </si>
  <si>
    <t>RDT2023022725</t>
  </si>
  <si>
    <t>Ms Tania Selina Cuss</t>
  </si>
  <si>
    <t>wcuss8@btinternet.com</t>
  </si>
  <si>
    <t>RDT2023022723</t>
  </si>
  <si>
    <t>RDT2023022715</t>
  </si>
  <si>
    <t>Mr Francesc  Carulla</t>
  </si>
  <si>
    <t>xiscocarulla@gmail.com</t>
  </si>
  <si>
    <t>RDT2023022713</t>
  </si>
  <si>
    <t>Mrs Sharon  Jepp</t>
  </si>
  <si>
    <t>sharonjepp7@gmail.com</t>
  </si>
  <si>
    <t>RDT2023022711</t>
  </si>
  <si>
    <t>Dr Rodney  Stewart Bexton</t>
  </si>
  <si>
    <t>r.s.bexton@btinternet.com</t>
  </si>
  <si>
    <t>RDT2023022707</t>
  </si>
  <si>
    <t>Mrs Tanvi Shrimal</t>
  </si>
  <si>
    <t>tanvi.kamalia@gmail.com</t>
  </si>
  <si>
    <t>SLIS2023022705</t>
  </si>
  <si>
    <t>Mr CARLOS VALIENTE</t>
  </si>
  <si>
    <t>cvaliente@014media.com</t>
  </si>
  <si>
    <t>RDT2023022703</t>
  </si>
  <si>
    <t>Ms Loralee Wilson</t>
  </si>
  <si>
    <t>ljwilso2@illinois.edu</t>
  </si>
  <si>
    <t>RDT2023012692</t>
  </si>
  <si>
    <t>Mr Hardev Pandha</t>
  </si>
  <si>
    <t>pandha@yahoo.com</t>
  </si>
  <si>
    <t>RDT2023012691</t>
  </si>
  <si>
    <t>Thailand</t>
  </si>
  <si>
    <t>Ms Hanna  Blakie</t>
  </si>
  <si>
    <t>hblakie@gmail.com</t>
  </si>
  <si>
    <t>RDT2023012690</t>
  </si>
  <si>
    <t>Mrs Tanya Louise  Cook</t>
  </si>
  <si>
    <t>Tanyahunter93@gmail.com</t>
  </si>
  <si>
    <t>RDT2023012688</t>
  </si>
  <si>
    <t>Ms Rebecca  Edgley-Tricks</t>
  </si>
  <si>
    <t>Becki1893@hotmail.co.uk</t>
  </si>
  <si>
    <t>RDT2023012687</t>
  </si>
  <si>
    <t>Mrs Caroline  Margaret Harvey</t>
  </si>
  <si>
    <t>carrieharvey@btconnect.com</t>
  </si>
  <si>
    <t>SLIS2023012684</t>
  </si>
  <si>
    <t>Mr Amar Budarapu</t>
  </si>
  <si>
    <t>Amar.Budarapu@bakermckenzie.com</t>
  </si>
  <si>
    <t>RDT2023012682</t>
  </si>
  <si>
    <t>Mrs Nicola  Rhian Howells</t>
  </si>
  <si>
    <t>barnowls2023@gmail.com</t>
  </si>
  <si>
    <t>SLIS2023012681</t>
  </si>
  <si>
    <t>Mr ANTONIO OPORTO DEL OLMO</t>
  </si>
  <si>
    <t>a.oporto@icloud.com</t>
  </si>
  <si>
    <t>SLIS2023012679</t>
  </si>
  <si>
    <t>RDT2023012676</t>
  </si>
  <si>
    <t>Mr Paul Meitz</t>
  </si>
  <si>
    <t>readymeitz@live.com</t>
  </si>
  <si>
    <t>SLIS2023012672</t>
  </si>
  <si>
    <t>zicasso</t>
  </si>
  <si>
    <t>Mr David Zifkin</t>
  </si>
  <si>
    <t>davidzifkin-2992086@inbound.zicasso.com&gt;</t>
  </si>
  <si>
    <t>RDT2023012663</t>
  </si>
  <si>
    <t>Mr Johnny Seymour</t>
  </si>
  <si>
    <t>Johnnyseymour88@gmail.com</t>
  </si>
  <si>
    <t>RDT2023012662</t>
  </si>
  <si>
    <t>Mrs Karen Elizabeth  Oldroyd</t>
  </si>
  <si>
    <t>ke.oldroyd@gmail.com</t>
  </si>
  <si>
    <t>RDT2023012661</t>
  </si>
  <si>
    <t>Mr Jeffrey Miceli Demajo</t>
  </si>
  <si>
    <t>jmicelidemajo@demajo.com</t>
  </si>
  <si>
    <t>RDT2023012659</t>
  </si>
  <si>
    <t>Mr Daniel  Robert James Berry</t>
  </si>
  <si>
    <t>Dan.berry@chep.com</t>
  </si>
  <si>
    <t>RDT2023012657</t>
  </si>
  <si>
    <t>Ms Jessica Millington</t>
  </si>
  <si>
    <t>jessmillington@hotmail.co.uk</t>
  </si>
  <si>
    <t>RDT2023012655</t>
  </si>
  <si>
    <t>Ms Lucy  Tyrrell</t>
  </si>
  <si>
    <t>lucy_tyrrell@hotmail.com</t>
  </si>
  <si>
    <t>RDT2023012653</t>
  </si>
  <si>
    <t>Switzerland</t>
  </si>
  <si>
    <t>Swiss</t>
  </si>
  <si>
    <t>Mr Reto  Hartmann</t>
  </si>
  <si>
    <t>reto.hartmann@aquilaswilken.ch</t>
  </si>
  <si>
    <t>RDT2023012647</t>
  </si>
  <si>
    <t>Mrs Tamara  Sivanandan</t>
  </si>
  <si>
    <t>tamarasiva@gmail.com</t>
  </si>
  <si>
    <t>RDT2023012646</t>
  </si>
  <si>
    <t>Mrs Eve Tyers</t>
  </si>
  <si>
    <t>evetyers@icloud.com</t>
  </si>
  <si>
    <t>RDT2023012643</t>
  </si>
  <si>
    <t>Ms Nicola  Mary-Lucie Smith</t>
  </si>
  <si>
    <t>smithpreutz@gmail.com</t>
  </si>
  <si>
    <t>RDT2023012641</t>
  </si>
  <si>
    <t>Mrs Diana Ivers</t>
  </si>
  <si>
    <t>dianaivers@icloud.com</t>
  </si>
  <si>
    <t>RDT2023012631</t>
  </si>
  <si>
    <t>Ms Christine   Elizabeth Kelsey</t>
  </si>
  <si>
    <t>travelkelsey@gmail.com</t>
  </si>
  <si>
    <t>RDT2023012630</t>
  </si>
  <si>
    <t>Mr Andrew Dickson</t>
  </si>
  <si>
    <t>andrewd4774@btinternet.com</t>
  </si>
  <si>
    <t>RDT2023012629</t>
  </si>
  <si>
    <t>Ms Christine  Schneider</t>
  </si>
  <si>
    <t>tine.daxberg@gmx.de</t>
  </si>
  <si>
    <t>RDT2023012628</t>
  </si>
  <si>
    <t>Mrs Emma  Louise  Burch Kenyon</t>
  </si>
  <si>
    <t>elbkenyon@gmail.com</t>
  </si>
  <si>
    <t>SLIS2023012626</t>
  </si>
  <si>
    <t>Ms Naina  Sen</t>
  </si>
  <si>
    <t>info@nainasen.com.au</t>
  </si>
  <si>
    <t>SLIS2022122617</t>
  </si>
  <si>
    <t>Ms Catherine Chumakov</t>
  </si>
  <si>
    <t>catherine.chumakov@gmail.com</t>
  </si>
  <si>
    <t>SLIS2022122616</t>
  </si>
  <si>
    <t>Mr Jean Redon</t>
  </si>
  <si>
    <t>jeanfrancoisredon@gmail.com</t>
  </si>
  <si>
    <t>RDT2022122608</t>
  </si>
  <si>
    <t>RDT2022122607</t>
  </si>
  <si>
    <t>Ms Marta Bernabeu  Fresquet</t>
  </si>
  <si>
    <t>marta.bernabeu.f@gmail.com</t>
  </si>
  <si>
    <t>RDT2022122603</t>
  </si>
  <si>
    <t>Mr Adam Edward Rose White</t>
  </si>
  <si>
    <t>adam@atlasworkshops.com</t>
  </si>
  <si>
    <t>RDT2022122600</t>
  </si>
  <si>
    <t>Mr Keith Elrick</t>
  </si>
  <si>
    <t>keithelrick123@hotmail.co.uk</t>
  </si>
  <si>
    <t>RDT2022122599</t>
  </si>
  <si>
    <t>Mr Nicholas Pocock</t>
  </si>
  <si>
    <t>nick@hedgehogcover.com</t>
  </si>
  <si>
    <t>RDT2022122598</t>
  </si>
  <si>
    <t>Mrs Judith  Moore</t>
  </si>
  <si>
    <t>jemrock1@proton.me</t>
  </si>
  <si>
    <t>RDT2022122597</t>
  </si>
  <si>
    <t>Serbian</t>
  </si>
  <si>
    <t>Mr Pavle Vojnovic</t>
  </si>
  <si>
    <t>Pvojnovic@gmai.com</t>
  </si>
  <si>
    <t>SLIS2022122595</t>
  </si>
  <si>
    <t>Mrs Rebel Rice</t>
  </si>
  <si>
    <t>rebel.rice828@gmail.com</t>
  </si>
  <si>
    <t>SLIS2022122592</t>
  </si>
  <si>
    <t>Mrs Gwen Nagendran</t>
  </si>
  <si>
    <t>‎gnagendran@yahoo.com</t>
  </si>
  <si>
    <t>RDT2022122591</t>
  </si>
  <si>
    <t>Mr Ian  Michael  Colley</t>
  </si>
  <si>
    <t>ian@colleyshouse.co.uk</t>
  </si>
  <si>
    <t>RDT2022122590</t>
  </si>
  <si>
    <t>Mr James Hippisley Kidner</t>
  </si>
  <si>
    <t>James@Kidner.net</t>
  </si>
  <si>
    <t>RDT2022122589</t>
  </si>
  <si>
    <t>Mrs Chuet Whan Lee</t>
  </si>
  <si>
    <t>lee_whan@hotmail.com</t>
  </si>
  <si>
    <t>RDT2022122586</t>
  </si>
  <si>
    <t>Mrs Victoria Manning-Monro</t>
  </si>
  <si>
    <t>manningmonro@gmail.com</t>
  </si>
  <si>
    <t>RDT2022122585</t>
  </si>
  <si>
    <t>Mr Christian Ellul  Sullivan</t>
  </si>
  <si>
    <t>sulli707@gmail.com</t>
  </si>
  <si>
    <t>SLIS2022122584</t>
  </si>
  <si>
    <t>dulminie</t>
  </si>
  <si>
    <t>Mr Martin Thomas</t>
  </si>
  <si>
    <t>RDT2022122582</t>
  </si>
  <si>
    <t>Ms Louise  Claire Parsons</t>
  </si>
  <si>
    <t>Louise.parsons@me.com</t>
  </si>
  <si>
    <t>SLIS2022112573</t>
  </si>
  <si>
    <t>Mr Graham  Porter</t>
  </si>
  <si>
    <t>whereiswendy@gmail.com</t>
  </si>
  <si>
    <t>RDT2022112572</t>
  </si>
  <si>
    <t>Saudi</t>
  </si>
  <si>
    <t>Ms Ghaida Ayidh</t>
  </si>
  <si>
    <t>Ghaida.ayidh@gmail.com</t>
  </si>
  <si>
    <t>RDT2022112571</t>
  </si>
  <si>
    <t>Mrs Rachael Moss</t>
  </si>
  <si>
    <t>rachevelyn@hotmail.com</t>
  </si>
  <si>
    <t>RDT2022112569</t>
  </si>
  <si>
    <t>Mr Dennis Anguige</t>
  </si>
  <si>
    <t>dennis.anguige@ntlworld.com</t>
  </si>
  <si>
    <t>RDT2022112566</t>
  </si>
  <si>
    <t>Mrs Margaret Rosamund Cordy</t>
  </si>
  <si>
    <t>rosamund.cordy@gmail.com</t>
  </si>
  <si>
    <t>SLIS2022112565</t>
  </si>
  <si>
    <t>Mrs Sharon De Silva</t>
  </si>
  <si>
    <t>RDT2022112564</t>
  </si>
  <si>
    <t>Mrs Sara  Anderegg</t>
  </si>
  <si>
    <t>sara.anderegg@gmail.com</t>
  </si>
  <si>
    <t>SLIS2022112562</t>
  </si>
  <si>
    <t>Mrs Rohini Ruikar</t>
  </si>
  <si>
    <t>ruikar.rohini91@gmail.com</t>
  </si>
  <si>
    <t>SLIS2022112557</t>
  </si>
  <si>
    <t>Mr Max Planck Foundation</t>
  </si>
  <si>
    <t>SLIS2022112556</t>
  </si>
  <si>
    <t>RDT2022112554</t>
  </si>
  <si>
    <t>Mr Kevin  Stuart Mathers</t>
  </si>
  <si>
    <t>kevin.mathers@gmail.com</t>
  </si>
  <si>
    <t>SLIS2022112553</t>
  </si>
  <si>
    <t>RDT2022112551</t>
  </si>
  <si>
    <t>Mr Philip Green</t>
  </si>
  <si>
    <t>phil.marj@talktalk.net</t>
  </si>
  <si>
    <t>RDT2022112549</t>
  </si>
  <si>
    <t>Mr Simon  Price</t>
  </si>
  <si>
    <t>sjeprice@hotmail.com</t>
  </si>
  <si>
    <t>RDT2022112548</t>
  </si>
  <si>
    <t>Mr Stuart  Bates</t>
  </si>
  <si>
    <t>stuart@stuartbates.co.uk</t>
  </si>
  <si>
    <t>RDT2022112546</t>
  </si>
  <si>
    <t>Mr Meng Seng Aloysius Wee</t>
  </si>
  <si>
    <t>aloysius.wee@aquinaslaw.sg</t>
  </si>
  <si>
    <t>RDT2022112545</t>
  </si>
  <si>
    <t>Mr Thomas  Hammond</t>
  </si>
  <si>
    <t>tom.hammond@sky.com</t>
  </si>
  <si>
    <t>RDT2022112535</t>
  </si>
  <si>
    <t>Mrs Vaniitha Jaiin</t>
  </si>
  <si>
    <t>vaniithajaiin@gmail.com</t>
  </si>
  <si>
    <t>RDT2022112532</t>
  </si>
  <si>
    <t>Ms Deborah  De Groot</t>
  </si>
  <si>
    <t>Deborah.degroot@btinternet.com</t>
  </si>
  <si>
    <t>RDT2022112531</t>
  </si>
  <si>
    <t>Jordan</t>
  </si>
  <si>
    <t>Ms Hana Bishop</t>
  </si>
  <si>
    <t>hanabishop@qvconsulting.com</t>
  </si>
  <si>
    <t>RDT2022112530</t>
  </si>
  <si>
    <t>RDT2022112524</t>
  </si>
  <si>
    <t>Mr Wai-Bien  Cheung</t>
  </si>
  <si>
    <t>wai_13@hotmail.com</t>
  </si>
  <si>
    <t>RDT2022112522</t>
  </si>
  <si>
    <t>Ms Gowtheme  Gowresan</t>
  </si>
  <si>
    <t>meenagowresan1825@hotmail.co.uk</t>
  </si>
  <si>
    <t>SLIS2022102519</t>
  </si>
  <si>
    <t>Mr Christopher Primus</t>
  </si>
  <si>
    <t>christopher.primus@gmail.com</t>
  </si>
  <si>
    <t>RDT2022102515</t>
  </si>
  <si>
    <t>Mrs Elisabeth  Gay Ward</t>
  </si>
  <si>
    <t>art@gayhutson.com</t>
  </si>
  <si>
    <t>RDT2022102514</t>
  </si>
  <si>
    <t>Mrs Mairead Guinan</t>
  </si>
  <si>
    <t>Maireadguinan12@gmail.com</t>
  </si>
  <si>
    <t>RDT2022102512</t>
  </si>
  <si>
    <t>Mr David  Miller</t>
  </si>
  <si>
    <t>RDT2022102511</t>
  </si>
  <si>
    <t>Ms Tina  Norden</t>
  </si>
  <si>
    <t>tina.norden@conran.com</t>
  </si>
  <si>
    <t>RDT2022102509</t>
  </si>
  <si>
    <t>Mr Geordie Erskine</t>
  </si>
  <si>
    <t>geordie_erskine@hotmail.com</t>
  </si>
  <si>
    <t>SLIS2022102507</t>
  </si>
  <si>
    <t>Australian(Norfolk Islands)</t>
  </si>
  <si>
    <t>Ms Christine  Parris</t>
  </si>
  <si>
    <t>giagia53@hotmail.com</t>
  </si>
  <si>
    <t>SLIS2022102505</t>
  </si>
  <si>
    <t>SLIS2022102504</t>
  </si>
  <si>
    <t>RDT2022102500</t>
  </si>
  <si>
    <t>Mr  Jonathan  Innes</t>
  </si>
  <si>
    <t>jinnes@waitrose.com</t>
  </si>
  <si>
    <t>RDT2022102499</t>
  </si>
  <si>
    <t>Mrs Jane  Barkes</t>
  </si>
  <si>
    <t>jane@barkesmail.co.uk,jane@barkesmail.co.uk</t>
  </si>
  <si>
    <t>RDT2022102496</t>
  </si>
  <si>
    <t>Mr Mark Hunt</t>
  </si>
  <si>
    <t>mtfhunt@yahoo.co.uk</t>
  </si>
  <si>
    <t>RDT2022102491</t>
  </si>
  <si>
    <t>Mr Matthew James Taylor</t>
  </si>
  <si>
    <t>matthew.james.taylor11@gmail.com</t>
  </si>
  <si>
    <t>SLIS2022092486</t>
  </si>
  <si>
    <t>Ms Imogen  Canavan</t>
  </si>
  <si>
    <t>canavan@mpfpr.de</t>
  </si>
  <si>
    <t>RDT2022092485</t>
  </si>
  <si>
    <t>Mr Edward  Jones</t>
  </si>
  <si>
    <t>etrj25@gmail.com</t>
  </si>
  <si>
    <t>RDT2022092469</t>
  </si>
  <si>
    <t>Mrs Chitra Rajashekaran</t>
  </si>
  <si>
    <t>chitrarajashekaran@hotmail.com</t>
  </si>
  <si>
    <t>RDT2022092467</t>
  </si>
  <si>
    <t>Mr Peter Gordon Moore</t>
  </si>
  <si>
    <t>petermoore@bodminland.plus.com</t>
  </si>
  <si>
    <t>SLIS2022092464</t>
  </si>
  <si>
    <t>Mrs Michal Preminger</t>
  </si>
  <si>
    <t>michal.preminger@gmail.com</t>
  </si>
  <si>
    <t>RDT2022092453</t>
  </si>
  <si>
    <t>Mr Nigel Whale</t>
  </si>
  <si>
    <t>nigel@whale.uk.com</t>
  </si>
  <si>
    <t>RDT2022092451</t>
  </si>
  <si>
    <t>Mr Timothy Paul Harrison</t>
  </si>
  <si>
    <t>timharrison001@hotmail.com</t>
  </si>
  <si>
    <t>RDT2022092449</t>
  </si>
  <si>
    <t>SLIS2022082438</t>
  </si>
  <si>
    <t>Mr James Cheng</t>
  </si>
  <si>
    <t>jchengkk@gmail.com&gt;</t>
  </si>
  <si>
    <t>SLIS2022082433</t>
  </si>
  <si>
    <t>Mr RAMON DIAZ - REGA&amp;Ntilde;ON</t>
  </si>
  <si>
    <t>ramon_drf91@hotmail.com</t>
  </si>
  <si>
    <t>RDT2022072426</t>
  </si>
  <si>
    <t>Netherlander</t>
  </si>
  <si>
    <t>Mrs Susan Vermeer</t>
  </si>
  <si>
    <t>hsvermeer@home.nl</t>
  </si>
  <si>
    <t>RDT2022072421</t>
  </si>
  <si>
    <t>Mr John Barker</t>
  </si>
  <si>
    <t>johnbaden1@gmail.com</t>
  </si>
  <si>
    <t>SLIS2022072420</t>
  </si>
  <si>
    <t>Mr RAMON D&amp;Iacute;AZ-REGA&amp;Ntilde;ON FERNANDEZ</t>
  </si>
  <si>
    <t>RDT2022072417</t>
  </si>
  <si>
    <t>lahiruk</t>
  </si>
  <si>
    <t>Ms Margit  Luuka</t>
  </si>
  <si>
    <t>mluuka@hotmail.com</t>
  </si>
  <si>
    <t>SLIS2022062391</t>
  </si>
  <si>
    <t>Mr John Schroeder</t>
  </si>
  <si>
    <t>js@valleybrook.com</t>
  </si>
  <si>
    <t>RDT2022052337</t>
  </si>
  <si>
    <t>Mrs Ashley Young</t>
  </si>
  <si>
    <t>beanietyme@hotmail.com</t>
  </si>
  <si>
    <t>RDT2022052336</t>
  </si>
  <si>
    <t>Mrs Emma  Pledge</t>
  </si>
  <si>
    <t>ekpledge@gmail.com</t>
  </si>
  <si>
    <t>RDT2022052332</t>
  </si>
  <si>
    <t>NadishikaP</t>
  </si>
  <si>
    <t>Mrs Emma Cross</t>
  </si>
  <si>
    <t>snowcross@tpg.com.au</t>
  </si>
  <si>
    <t>SLIS2022042316</t>
  </si>
  <si>
    <t>Ms MARIA TENA ROGER</t>
  </si>
  <si>
    <t>maria.tena.roger@gmail.com</t>
  </si>
  <si>
    <t>RDT2022042305</t>
  </si>
  <si>
    <t>Mr Vincent Goedegebuure</t>
  </si>
  <si>
    <t>vgoedegebuure@hotmail.com</t>
  </si>
  <si>
    <t>SLIS2022042296</t>
  </si>
  <si>
    <t>Mr PABLO DOCAVO PEDRAZA</t>
  </si>
  <si>
    <t>pab.docavo.p@gmail.com</t>
  </si>
  <si>
    <t>SLIS2022042275</t>
  </si>
  <si>
    <t>Mr Bill Hermanns</t>
  </si>
  <si>
    <t>billy.hermanns@gmail.com</t>
  </si>
  <si>
    <t>SLIS2022032260</t>
  </si>
  <si>
    <t>Mr Juan Giralt  Josa</t>
  </si>
  <si>
    <t>arovira22@gmail.com</t>
  </si>
  <si>
    <t>SLIS2022032251</t>
  </si>
  <si>
    <t>Mr Lorien Newman</t>
  </si>
  <si>
    <t>magicbox2@gmail.com</t>
  </si>
  <si>
    <t>RDT2022032241</t>
  </si>
  <si>
    <t>Austria</t>
  </si>
  <si>
    <t>Austrian</t>
  </si>
  <si>
    <t>Mrs Isabelle Irani</t>
  </si>
  <si>
    <t>isabelleirani@gmail.com</t>
  </si>
  <si>
    <t>RDT2022032240</t>
  </si>
  <si>
    <t>Mrs Helen Felicity Cabell</t>
  </si>
  <si>
    <t>helen_cabell@hotmail.com</t>
  </si>
  <si>
    <t>RDT2022032238</t>
  </si>
  <si>
    <t>Mr Keith Bennett</t>
  </si>
  <si>
    <t>Keithjohnbennett@outlook.com</t>
  </si>
  <si>
    <t>RDT2022032237</t>
  </si>
  <si>
    <t>Mrs Kalani Bogahalande</t>
  </si>
  <si>
    <t>kbogahalande@gmail.com</t>
  </si>
  <si>
    <t>RDT2022032236</t>
  </si>
  <si>
    <t>Mr Philip Howard</t>
  </si>
  <si>
    <t>PNLHOWARD@GMAIL.COM</t>
  </si>
  <si>
    <t>RDT2022032231</t>
  </si>
  <si>
    <t>Polish</t>
  </si>
  <si>
    <t>Ms Alina Miedzik</t>
  </si>
  <si>
    <t>alinamiedzik@live.co.uk</t>
  </si>
  <si>
    <t>RDT2022032230</t>
  </si>
  <si>
    <t>Ms Beverley  Shelley</t>
  </si>
  <si>
    <t>bevmitchell2011@gmail.com</t>
  </si>
  <si>
    <t>RDT2022032213</t>
  </si>
  <si>
    <t>Mr Ivan Gosio</t>
  </si>
  <si>
    <t>jacintacarafi1@gmail.com</t>
  </si>
  <si>
    <t>RDT2022032208</t>
  </si>
  <si>
    <t>Mr Thomas Charles Jennings</t>
  </si>
  <si>
    <t>tomcjennings@gmail.com</t>
  </si>
  <si>
    <t>RDT2022032207</t>
  </si>
  <si>
    <t>Mr James Portway</t>
  </si>
  <si>
    <t>jportway@combstannery.co.uk</t>
  </si>
  <si>
    <t>RDT2022032200</t>
  </si>
  <si>
    <t>Mr Edward  Anthony Petter</t>
  </si>
  <si>
    <t>nickhartley7@yahoo.co.uk</t>
  </si>
  <si>
    <t>RDT2022032198</t>
  </si>
  <si>
    <t>Mrs Lily Allison Rogers</t>
  </si>
  <si>
    <t>lilyallison@gmail.com</t>
  </si>
  <si>
    <t>SLIS2022032194</t>
  </si>
  <si>
    <t>Hungarian</t>
  </si>
  <si>
    <t>Mr Tamas Balogh</t>
  </si>
  <si>
    <t>baloghtamas.hu@gmail.com | robotkaberni@gmail.com</t>
  </si>
  <si>
    <t>RDT2022032190</t>
  </si>
  <si>
    <t>Mrs Silvia Furlanetto</t>
  </si>
  <si>
    <t>silvia.furlanetto79@gmail.com</t>
  </si>
  <si>
    <t>RDT2022032189</t>
  </si>
  <si>
    <t>Mr Robert   Laurence Disney</t>
  </si>
  <si>
    <t>robertdisney@fb.com</t>
  </si>
  <si>
    <t>SLIS2022032184</t>
  </si>
  <si>
    <t>Mrs Ines  Gari</t>
  </si>
  <si>
    <t>inesgari@horizontal.com.es</t>
  </si>
  <si>
    <t>RDT2022032179</t>
  </si>
  <si>
    <t>Mr Ricciardi  Matias</t>
  </si>
  <si>
    <t>matiasricciardi@hotmail.com</t>
  </si>
  <si>
    <t>SLIS2022032166</t>
  </si>
  <si>
    <t>South Africa</t>
  </si>
  <si>
    <t>South African</t>
  </si>
  <si>
    <t>Mr Nadeem Mahomed</t>
  </si>
  <si>
    <t>nmahomed@gmail.com</t>
  </si>
  <si>
    <t>RDT2022032158</t>
  </si>
  <si>
    <t>Mr Oliver Davies</t>
  </si>
  <si>
    <t>alpal126@hotmail.co.uk</t>
  </si>
  <si>
    <t>RDT2022032156</t>
  </si>
  <si>
    <t>Mr Anthony Belford</t>
  </si>
  <si>
    <t>tony.belford3821@gmail.com</t>
  </si>
  <si>
    <t>RDT2022032154</t>
  </si>
  <si>
    <t>Dr Colette Sparey</t>
  </si>
  <si>
    <t>spareyc@icloud.com</t>
  </si>
  <si>
    <t>RDT2022032148</t>
  </si>
  <si>
    <t>Mr Antonio  Molina Navarro</t>
  </si>
  <si>
    <t>molinavarro@gmail.com</t>
  </si>
  <si>
    <t>SLIS2022032143</t>
  </si>
  <si>
    <t>Mr Sam  Landman</t>
  </si>
  <si>
    <t>samlandman@hotmail.co.uk</t>
  </si>
  <si>
    <t>SLIS2022032142</t>
  </si>
  <si>
    <t>Mrs Isabel  Hrotko</t>
  </si>
  <si>
    <t>soares_isabel@yahoo.com</t>
  </si>
  <si>
    <t>RDT2022032130</t>
  </si>
  <si>
    <t>Ms Roshana Gammampila</t>
  </si>
  <si>
    <t>ROSHANA.GAMMAMPILA@GMAIL.COM</t>
  </si>
  <si>
    <t>SLIS2022022124</t>
  </si>
  <si>
    <t>Mr Arul Kanagarajah</t>
  </si>
  <si>
    <t>RDT2022022105</t>
  </si>
  <si>
    <t>Mr Martyn  Jones</t>
  </si>
  <si>
    <t>martynrjones2@gmail.com</t>
  </si>
  <si>
    <t>RDT2022022086</t>
  </si>
  <si>
    <t>Turkey</t>
  </si>
  <si>
    <t>Mr Antony Greenwood</t>
  </si>
  <si>
    <t>gwood@boun.edu.tr</t>
  </si>
  <si>
    <t>SLIS2022022083</t>
  </si>
  <si>
    <t>Mr DANIEL MALDONADO</t>
  </si>
  <si>
    <t>maldonadoemo.daniel@gmail.com</t>
  </si>
  <si>
    <t>SLIS2022022072</t>
  </si>
  <si>
    <t>Mr Bernie  C /O Miguel</t>
  </si>
  <si>
    <t>,bcorbera@edrem.es</t>
  </si>
  <si>
    <t>RDT2022022068</t>
  </si>
  <si>
    <t>Ms Dannielle  Lam</t>
  </si>
  <si>
    <t>danniellelam@hotmail.com</t>
  </si>
  <si>
    <t>RDT2022022066</t>
  </si>
  <si>
    <t>Ms Dannielle Lam</t>
  </si>
  <si>
    <t>RDT2022022064</t>
  </si>
  <si>
    <t>Ms Anne Varney</t>
  </si>
  <si>
    <t>af.varney@btinternet.com</t>
  </si>
  <si>
    <t>RDT2022022061</t>
  </si>
  <si>
    <t>Mr David  Andrew Brown</t>
  </si>
  <si>
    <t>d.brown@altairllp.co.uk,d.brown@altairllp.co.uk</t>
  </si>
  <si>
    <t>RDT2022022057</t>
  </si>
  <si>
    <t>Ms Clare  Clarke</t>
  </si>
  <si>
    <t>clare.clarke@zoho.com</t>
  </si>
  <si>
    <t>RDT2022022056</t>
  </si>
  <si>
    <t>RDT2022022048</t>
  </si>
  <si>
    <t>Ms Rachel  Lethbridge</t>
  </si>
  <si>
    <t>rachellethbridge@mac.com</t>
  </si>
  <si>
    <t>RDT2022022046</t>
  </si>
  <si>
    <t>RDT2022022037</t>
  </si>
  <si>
    <t>Mr Saheb Balaj</t>
  </si>
  <si>
    <t>sahebbajaj@punjabsind.com</t>
  </si>
  <si>
    <t>SLIS2022022031</t>
  </si>
  <si>
    <t>Mr GON&amp;Ccedil;ALO NUNO GOMES DA COSTA</t>
  </si>
  <si>
    <t>goncalo.boavida@embritive.com&gt;</t>
  </si>
  <si>
    <t>SLIS2022022028</t>
  </si>
  <si>
    <t>Ms Shahila Perumalpillai</t>
  </si>
  <si>
    <t>shahilapillai@gmail.com</t>
  </si>
  <si>
    <t>RDT2022022026</t>
  </si>
  <si>
    <t>Belgium</t>
  </si>
  <si>
    <t>Belgian</t>
  </si>
  <si>
    <t>Ms Katrin Bastijns</t>
  </si>
  <si>
    <t>katrinpatrick@gmail.com</t>
  </si>
  <si>
    <t>RDT2022022012</t>
  </si>
  <si>
    <t>Mr Robert Guy</t>
  </si>
  <si>
    <t>jrc.guy@blueyonder.co.uk</t>
  </si>
  <si>
    <t>RDT2022022006</t>
  </si>
  <si>
    <t>SLIS2022022003</t>
  </si>
  <si>
    <t>Mr ALFONSO  CELA</t>
  </si>
  <si>
    <t>alfonsocela@gmail.com</t>
  </si>
  <si>
    <t>SLIS2022022002</t>
  </si>
  <si>
    <t>Mrs Susanne Rothwell</t>
  </si>
  <si>
    <t>susypatterson@gmail.com</t>
  </si>
  <si>
    <t>RDT2022011996</t>
  </si>
  <si>
    <t>Ms Debra  Berzin-Cohen</t>
  </si>
  <si>
    <t>ampasand@aol.com</t>
  </si>
  <si>
    <t>SLIS2022011994</t>
  </si>
  <si>
    <t>Mr Ross Peet</t>
  </si>
  <si>
    <t>rosscpeet@gmail.com</t>
  </si>
  <si>
    <t>RDT2022011991</t>
  </si>
  <si>
    <t>Ms Rebecca Moss</t>
  </si>
  <si>
    <t>beckygmoss@hotmail.com</t>
  </si>
  <si>
    <t>SLIS2022011978</t>
  </si>
  <si>
    <t>Ms Nicola Biltoo</t>
  </si>
  <si>
    <t>nikibiltoo@hotmail.com</t>
  </si>
  <si>
    <t>RDT2022011969</t>
  </si>
  <si>
    <t>Mr William Woodhead</t>
  </si>
  <si>
    <t>w.woodhead@hotmail.com</t>
  </si>
  <si>
    <t>RDT2022011967</t>
  </si>
  <si>
    <t>Mrs Smita Shah</t>
  </si>
  <si>
    <t>smita.shah2020@outlook.com</t>
  </si>
  <si>
    <t>RDT2022011964</t>
  </si>
  <si>
    <t>Mr Miles  David Rothery Skinner</t>
  </si>
  <si>
    <t>mdrskinner@googlemail.com</t>
  </si>
  <si>
    <t>SLIS2022011963</t>
  </si>
  <si>
    <t>Mrs Pauline Howard</t>
  </si>
  <si>
    <t>,paulineles@hotmail.com</t>
  </si>
  <si>
    <t>RDT2022011959</t>
  </si>
  <si>
    <t>Mrs Heather  Lockwood</t>
  </si>
  <si>
    <t>Heather.lockwood43@ntlworld.com</t>
  </si>
  <si>
    <t>RDT2022011958</t>
  </si>
  <si>
    <t>RDT2022011954</t>
  </si>
  <si>
    <t>Mr Simon  Jack Turley</t>
  </si>
  <si>
    <t>simonjturley@hotmail.co.uk</t>
  </si>
  <si>
    <t>RDT2022011953</t>
  </si>
  <si>
    <t>Mr Arthur  Christopher Orchard</t>
  </si>
  <si>
    <t>corchard1@btopenworld.com</t>
  </si>
  <si>
    <t>RDT2022011951</t>
  </si>
  <si>
    <t>Ms Azaria Murray</t>
  </si>
  <si>
    <t>azaria.murray@hotmail.co.uk</t>
  </si>
  <si>
    <t>SLIS2022011940</t>
  </si>
  <si>
    <t>Russia</t>
  </si>
  <si>
    <t>Russian</t>
  </si>
  <si>
    <t>Mr Test Test</t>
  </si>
  <si>
    <t>RDT2022011937</t>
  </si>
  <si>
    <t>Ms Ella Mould</t>
  </si>
  <si>
    <t>RDT2022011935</t>
  </si>
  <si>
    <t>Mrs Grania Langdon - Down</t>
  </si>
  <si>
    <t>graniald4@gmail.com</t>
  </si>
  <si>
    <t>RDT2022011934</t>
  </si>
  <si>
    <t>Slovenia</t>
  </si>
  <si>
    <t>Slovenian</t>
  </si>
  <si>
    <t>Mr Rajko  Knežević</t>
  </si>
  <si>
    <t>rknezevic@gmail.com</t>
  </si>
  <si>
    <t>RDT2022011930</t>
  </si>
  <si>
    <t>Mr Philip  Rea</t>
  </si>
  <si>
    <t>p.rea@uk.cdw.com</t>
  </si>
  <si>
    <t>RDT2022011928</t>
  </si>
  <si>
    <t>Mrs Wendy F. Beach</t>
  </si>
  <si>
    <t>wendy@basinharbor.com</t>
  </si>
  <si>
    <t>RDT2022011926</t>
  </si>
  <si>
    <t>Mr Benedict  Elliott</t>
  </si>
  <si>
    <t>SLIS2022011919</t>
  </si>
  <si>
    <t>RafaelT</t>
  </si>
  <si>
    <t>Mr Carlos Vidal</t>
  </si>
  <si>
    <t>cevf54@gmail.com</t>
  </si>
  <si>
    <t>RDT2022011914</t>
  </si>
  <si>
    <t>Mr Paul Atken</t>
  </si>
  <si>
    <t>Paitken1973@googlemail.com</t>
  </si>
  <si>
    <t>RDT2022011912</t>
  </si>
  <si>
    <t>Mrs Janet Brownrigg Gleeson</t>
  </si>
  <si>
    <t>gleesonjanet@hotmail.com</t>
  </si>
  <si>
    <t>RDT2022011906</t>
  </si>
  <si>
    <t>Mrs Laura Forbes-Coy</t>
  </si>
  <si>
    <t>RDT2022011905</t>
  </si>
  <si>
    <t>Mr Robin Maulik</t>
  </si>
  <si>
    <t>robin.maulik@gmail.com</t>
  </si>
  <si>
    <t>RDT2022011902</t>
  </si>
  <si>
    <t>Mr Frederick Riley</t>
  </si>
  <si>
    <t>mark.riley@xenogenix.co.uk</t>
  </si>
  <si>
    <t>RDT2022011901</t>
  </si>
  <si>
    <t>Mr Mark Evans</t>
  </si>
  <si>
    <t>jamarkevans@gmail.com</t>
  </si>
  <si>
    <t>RDT2022011900</t>
  </si>
  <si>
    <t>Ms Alison  Thornton</t>
  </si>
  <si>
    <t>alythornton@gmail.com</t>
  </si>
  <si>
    <t>RDT2022011899</t>
  </si>
  <si>
    <t>AshanW,lahiruK</t>
  </si>
  <si>
    <t>SLIS2022011898</t>
  </si>
  <si>
    <t>agent</t>
  </si>
  <si>
    <t>RozanneD</t>
  </si>
  <si>
    <t>Chile</t>
  </si>
  <si>
    <t>Chilean</t>
  </si>
  <si>
    <t>Mr Edgardo Renato Von Schroeders Edwards</t>
  </si>
  <si>
    <t>nuriaf@srilankainstyle.com</t>
  </si>
  <si>
    <t>RDT2022011897</t>
  </si>
  <si>
    <t>Ms Chantal  Tu</t>
  </si>
  <si>
    <t>chantaltu@gmail.com</t>
  </si>
  <si>
    <t>SLIS2021121896</t>
  </si>
  <si>
    <t>Mr Mikhail Asvarishch</t>
  </si>
  <si>
    <t>SLIS2021121888</t>
  </si>
  <si>
    <t>SLIS2021121884</t>
  </si>
  <si>
    <t>Ms Marta Docano  Pedraza</t>
  </si>
  <si>
    <t>RDT2021121879</t>
  </si>
  <si>
    <t>Mr  Martin  Varney Mclean</t>
  </si>
  <si>
    <t>martin@varneymclean.com.au</t>
  </si>
  <si>
    <t>RDT2021121871</t>
  </si>
  <si>
    <t>Mr Frederick Thomas  Ingham Clark</t>
  </si>
  <si>
    <t>t.ingclark@gmail.com</t>
  </si>
  <si>
    <t>SLIS2021121868</t>
  </si>
  <si>
    <t>Mr Jolyon Coates</t>
  </si>
  <si>
    <t>Jolyon.coates@lazard.com</t>
  </si>
  <si>
    <t>RDT2021121855</t>
  </si>
  <si>
    <t>Mrs Susan  Jennifer Sandbach</t>
  </si>
  <si>
    <t>sue.sandbach@gmail.com</t>
  </si>
  <si>
    <t>RDT2021121853</t>
  </si>
  <si>
    <t>Mr Michael  Osborne</t>
  </si>
  <si>
    <t>michael.osborne@gmail.com</t>
  </si>
  <si>
    <t>RDT2021111845</t>
  </si>
  <si>
    <t>Mrs Alka Shah</t>
  </si>
  <si>
    <t>SLIS2021111843</t>
  </si>
  <si>
    <t>Mr Guy Hervais</t>
  </si>
  <si>
    <t>bibi@pavillondegalon.com</t>
  </si>
  <si>
    <t>RDT2021111839</t>
  </si>
  <si>
    <t>Mrs Pamela  Codrington</t>
  </si>
  <si>
    <t>pamela@oldhundred.co.uk</t>
  </si>
  <si>
    <t>SLIS2021111838</t>
  </si>
  <si>
    <t>Mr Pranav Vissanji</t>
  </si>
  <si>
    <t>p.vissanji@gmail.com</t>
  </si>
  <si>
    <t>RDT2021111829</t>
  </si>
  <si>
    <t>Swedish</t>
  </si>
  <si>
    <t>Ms Chayan  Acharya</t>
  </si>
  <si>
    <t>cacha0227@gmail.com</t>
  </si>
  <si>
    <t>RDT2021111818</t>
  </si>
  <si>
    <t>Mrs Elif  Campbell</t>
  </si>
  <si>
    <t>campbellelif@gmail.com,campbellelif@gmail.com</t>
  </si>
  <si>
    <t>RDT2021111813</t>
  </si>
  <si>
    <t>Ms Renae  Stein</t>
  </si>
  <si>
    <t>stein_renae@yahoo.com</t>
  </si>
  <si>
    <t>SLIS2021111806</t>
  </si>
  <si>
    <t>ANDREAG</t>
  </si>
  <si>
    <t>Mrs Amisha De Zoysa</t>
  </si>
  <si>
    <t>amishadez@hotmail.co.uk</t>
  </si>
  <si>
    <t>RDT2021111804</t>
  </si>
  <si>
    <t>Mr Martin  Varney McLean</t>
  </si>
  <si>
    <t>RDT2021111800</t>
  </si>
  <si>
    <t>Ms Sandra  Jones</t>
  </si>
  <si>
    <t>sandyjones161@gmail.com</t>
  </si>
  <si>
    <t>RDT2021111797</t>
  </si>
  <si>
    <t>Mrs Melanie  Raymond</t>
  </si>
  <si>
    <t>melraymond@gmx.com</t>
  </si>
  <si>
    <t>SLIS2021111795</t>
  </si>
  <si>
    <t>Ms Rose  Gore Browne</t>
  </si>
  <si>
    <t>RDT2021111790</t>
  </si>
  <si>
    <t>Dr Ian Fergusson</t>
  </si>
  <si>
    <t>mrsshelleyfergusson@gmail.com</t>
  </si>
  <si>
    <t>RDT2021111783</t>
  </si>
  <si>
    <t>Ms Chloe Ling Yee Leung</t>
  </si>
  <si>
    <t>chloeleung91@gmail.com</t>
  </si>
  <si>
    <t>RDT2021111779</t>
  </si>
  <si>
    <t>Mr James  Pateman</t>
  </si>
  <si>
    <t>james.pateman@googlemail.com</t>
  </si>
  <si>
    <t>RDT2021111771</t>
  </si>
  <si>
    <t>Mr Jonathan Denny</t>
  </si>
  <si>
    <t>RDT2021111769</t>
  </si>
  <si>
    <t>Mr Dhruv  Joshi</t>
  </si>
  <si>
    <t>dhruv.joshi285@gmail.com</t>
  </si>
  <si>
    <t>RDT2021111765</t>
  </si>
  <si>
    <t>Mr Tom Hoddell</t>
  </si>
  <si>
    <t>tom@micasatucasaibiza.com</t>
  </si>
  <si>
    <t>RDT2021101749</t>
  </si>
  <si>
    <t>Philippines</t>
  </si>
  <si>
    <t>Mr John Macrow</t>
  </si>
  <si>
    <t>jmacrow@hotmail.com</t>
  </si>
  <si>
    <t>RDT2021101748</t>
  </si>
  <si>
    <t>Mrs Abbie Roden</t>
  </si>
  <si>
    <t>abbiesroden@gmail.com</t>
  </si>
  <si>
    <t>honeymoon</t>
  </si>
  <si>
    <t>SLIS2021101746</t>
  </si>
  <si>
    <t>Mr Simon Pollock</t>
  </si>
  <si>
    <t>simonpollock@mac.com</t>
  </si>
  <si>
    <t>SLIS2021101739</t>
  </si>
  <si>
    <t>Mr Patrick  McGrath</t>
  </si>
  <si>
    <t>RDT2021101733</t>
  </si>
  <si>
    <t>Ms Carole  McCallum</t>
  </si>
  <si>
    <t>carolemccallum1@gmail.com</t>
  </si>
  <si>
    <t>RDT2021101725</t>
  </si>
  <si>
    <t>Ms Sophie Brooker</t>
  </si>
  <si>
    <t>sophiebrooker@hotmail.com</t>
  </si>
  <si>
    <t>SLIS2021101717</t>
  </si>
  <si>
    <t>Mrs Veeranthi  Gunawardhana</t>
  </si>
  <si>
    <t>veeranthi@yahoo.com</t>
  </si>
  <si>
    <t>RDT2021101713</t>
  </si>
  <si>
    <t>Mrs Johanna Cowell</t>
  </si>
  <si>
    <t>jorocowell@aol.com</t>
  </si>
  <si>
    <t>RDT2021101712</t>
  </si>
  <si>
    <t>Mrs Linda Gronland</t>
  </si>
  <si>
    <t>lingron@hotmail.co.uk</t>
  </si>
  <si>
    <t>RDT2021101704</t>
  </si>
  <si>
    <t>Mr William  Venables</t>
  </si>
  <si>
    <t>+447976405424</t>
  </si>
  <si>
    <t>RDT2021101701</t>
  </si>
  <si>
    <t>xiscocarulla@gmail.com,xiscocarulla@gmail.com</t>
  </si>
  <si>
    <t>RDT2021101696</t>
  </si>
  <si>
    <t>Mrs Keshia  Ibrahim</t>
  </si>
  <si>
    <t>iamkeshia@gmail.com</t>
  </si>
  <si>
    <t>RDT2021091692</t>
  </si>
  <si>
    <t>Mr Nicholas  John Subert</t>
  </si>
  <si>
    <t>nickrozsubert@aol.com</t>
  </si>
  <si>
    <t>SLIS2021091678</t>
  </si>
  <si>
    <t>Mrs Renee Tucei</t>
  </si>
  <si>
    <t>renee.tucei@gmail.com</t>
  </si>
  <si>
    <t>SLIS2021091671</t>
  </si>
  <si>
    <t>RamithK</t>
  </si>
  <si>
    <t>Mr Miguel Cunat</t>
  </si>
  <si>
    <t>RDT2021071658</t>
  </si>
  <si>
    <t>Ms Janet Weymouth</t>
  </si>
  <si>
    <t>jweymouth1@hotmail.com</t>
  </si>
  <si>
    <t>SLIS2021071657</t>
  </si>
  <si>
    <t>Mr Peter McCarthy</t>
  </si>
  <si>
    <t>peter.mccarthy@pecex.com.mx</t>
  </si>
  <si>
    <t>SLIS2021071650</t>
  </si>
  <si>
    <t>Mr Roberto Ulecia Naveira</t>
  </si>
  <si>
    <t>robertoburelarte@gmail.com</t>
  </si>
  <si>
    <t>RDT2021051637</t>
  </si>
  <si>
    <t>Ivory Coast</t>
  </si>
  <si>
    <t>Mr Bart  Carolus M Vander Plaetse</t>
  </si>
  <si>
    <t>bart.vanderplaetse@fairmed.ch</t>
  </si>
  <si>
    <t>RDT2021051627</t>
  </si>
  <si>
    <t>KosalaG</t>
  </si>
  <si>
    <t>Mr SANGAKKARA CHOKSHANADA KUMARA</t>
  </si>
  <si>
    <t>RDT2021041621</t>
  </si>
  <si>
    <t>Mr Chris  Thornton</t>
  </si>
  <si>
    <t>Chris@bedevo.com</t>
  </si>
  <si>
    <t>RDT2021041604</t>
  </si>
  <si>
    <t>Mr Ian  Ditchfield</t>
  </si>
  <si>
    <t>ianditchfield@outlook.com</t>
  </si>
  <si>
    <t>RDT2021041594</t>
  </si>
  <si>
    <t>Mr Nikunj Agarwal</t>
  </si>
  <si>
    <t>Nikunj.Agarwal@marsh.com</t>
  </si>
  <si>
    <t>RDT2021031578</t>
  </si>
  <si>
    <t>Ms Tala Elajou</t>
  </si>
  <si>
    <t>talaelajou1@gmail.com</t>
  </si>
  <si>
    <t>RDT2021031577</t>
  </si>
  <si>
    <t>Mr Rodger Dickson</t>
  </si>
  <si>
    <t>rogdog63@gmail.com</t>
  </si>
  <si>
    <t>RDT2021031571</t>
  </si>
  <si>
    <t>Mr Anthony  Alexander  Doeh</t>
  </si>
  <si>
    <t>anthony.doeh@softbank.com</t>
  </si>
  <si>
    <t>RDT2021021561</t>
  </si>
  <si>
    <t>ChrishanthanM,dinus</t>
  </si>
  <si>
    <t>Mr Ciaran Crowley</t>
  </si>
  <si>
    <t>ccrowley@inc-solutions.com</t>
  </si>
  <si>
    <t>SLIS2021021555</t>
  </si>
  <si>
    <t>Mr Richard Hallam</t>
  </si>
  <si>
    <t>rich.hallam@icloud.com</t>
  </si>
  <si>
    <t>RDT2021011545</t>
  </si>
  <si>
    <t>Ms Claudia Tietze</t>
  </si>
  <si>
    <t>ku-1@colo.diplo.de</t>
  </si>
  <si>
    <t>RDT2020111527</t>
  </si>
  <si>
    <t>IkshulaW</t>
  </si>
  <si>
    <t>Ms Tiffany Forster</t>
  </si>
  <si>
    <t>tlbforster@gmail.com</t>
  </si>
  <si>
    <t>RDT2020101516</t>
  </si>
  <si>
    <t>Mr Neil  Beardsley</t>
  </si>
  <si>
    <t>neilbeardsley@icloud.com</t>
  </si>
  <si>
    <t>SLIS2020081491</t>
  </si>
  <si>
    <t>Mr John  Clougherty</t>
  </si>
  <si>
    <t>john.clougherty@fil.com</t>
  </si>
  <si>
    <t>RDT2020071486</t>
  </si>
  <si>
    <t>Ms Saumya Miguel&amp;#039;s friend</t>
  </si>
  <si>
    <t>RDT2020071483</t>
  </si>
  <si>
    <t>RDT2020071479</t>
  </si>
  <si>
    <t>dinus</t>
  </si>
  <si>
    <t>Mr Tony Hulton</t>
  </si>
  <si>
    <t>RDT2020061456</t>
  </si>
  <si>
    <t>Mr Mohara Dole</t>
  </si>
  <si>
    <t>moharadole@yahoo.com</t>
  </si>
  <si>
    <t>RDT2020061455</t>
  </si>
  <si>
    <t>Ms Suthami Austin</t>
  </si>
  <si>
    <t>RDT2020061454</t>
  </si>
  <si>
    <t>Mr Ashan De Soyza</t>
  </si>
  <si>
    <t>RDT2020061453</t>
  </si>
  <si>
    <t>Mr Charlie Austin</t>
  </si>
  <si>
    <t>charlie@austin-management.com</t>
  </si>
  <si>
    <t>RDT2020031403</t>
  </si>
  <si>
    <t>Mr Joseph Toronka</t>
  </si>
  <si>
    <t>jimwood156@yahoo.com</t>
  </si>
  <si>
    <t>RDT2020031402</t>
  </si>
  <si>
    <t>Mr Jim Wood</t>
  </si>
  <si>
    <t>RDT2020031396</t>
  </si>
  <si>
    <t>Ms Diana Okoeva</t>
  </si>
  <si>
    <t>DOkoeva@clintons.co.uk</t>
  </si>
  <si>
    <t>RDT2020031391</t>
  </si>
  <si>
    <t>Mr Anna Tompkins</t>
  </si>
  <si>
    <t>annawales1981@hotmail.com</t>
  </si>
  <si>
    <t>RDT2020031385</t>
  </si>
  <si>
    <t>Mr ATMAN GROUP</t>
  </si>
  <si>
    <t>michael@kiminholdings.com</t>
  </si>
  <si>
    <t>RDT2020031376</t>
  </si>
  <si>
    <t>DYLANR</t>
  </si>
  <si>
    <t>Mr Nick Hoult</t>
  </si>
  <si>
    <t>RDT2020031374</t>
  </si>
  <si>
    <t>Ms Hafsa Jamel</t>
  </si>
  <si>
    <t>ShyamaJ@lolcfinance.com</t>
  </si>
  <si>
    <t>RDT2020021357</t>
  </si>
  <si>
    <t>Ms Kavita Gandhi x 02</t>
  </si>
  <si>
    <t>gandhi.kavita@gmail.com</t>
  </si>
  <si>
    <t>RDT2020021343</t>
  </si>
  <si>
    <t>Ms Aurelia  Jaquier</t>
  </si>
  <si>
    <t>aurelia.jaquier@gmail.com</t>
  </si>
  <si>
    <t>RDT2020021328</t>
  </si>
  <si>
    <t>Mr Christopher McGowan</t>
  </si>
  <si>
    <t>cmg312@hotmail.co.uk</t>
  </si>
  <si>
    <t>RDT2020021307</t>
  </si>
  <si>
    <t>Mr Dieter Schreck</t>
  </si>
  <si>
    <t>dschreck@gmx.de</t>
  </si>
  <si>
    <t>RDT2020021257</t>
  </si>
  <si>
    <t>Ms Leah Peckham</t>
  </si>
  <si>
    <t>leahpeckham123@gmail.com</t>
  </si>
  <si>
    <t>SLIS2020011213</t>
  </si>
  <si>
    <t>Mr Hussain Jebara</t>
  </si>
  <si>
    <t>h_jebara@yahoo.com</t>
  </si>
  <si>
    <t>RDT2020011210</t>
  </si>
  <si>
    <t>MohamedR</t>
  </si>
  <si>
    <t>Ms Alice Curtis</t>
  </si>
  <si>
    <t>lisacurtis04@hotmail.com</t>
  </si>
  <si>
    <t>RDT2020011192</t>
  </si>
  <si>
    <t>Mr Peter  Collis</t>
  </si>
  <si>
    <t>petercollis53@btinternet.com</t>
  </si>
  <si>
    <t>RDT2020011187</t>
  </si>
  <si>
    <t>NishokL</t>
  </si>
  <si>
    <t>Mr Nick Clayton</t>
  </si>
  <si>
    <t>nickclayto@cs.com</t>
  </si>
  <si>
    <t>RDT2020011185</t>
  </si>
  <si>
    <t>Mr William McElwain</t>
  </si>
  <si>
    <t>RDT2020011179</t>
  </si>
  <si>
    <t>Mr Maher Bouzouita</t>
  </si>
  <si>
    <t>m.bouzouita@yahoo.ca</t>
  </si>
  <si>
    <t>RDT2020011168</t>
  </si>
  <si>
    <t>Mrs Irene Ter Horst</t>
  </si>
  <si>
    <t>oestelle1@hotmail.com</t>
  </si>
  <si>
    <t>RDT2020011156</t>
  </si>
  <si>
    <t>Mr Peter Ossenbach</t>
  </si>
  <si>
    <t>&lt;a.k.stillfried@gmail.com&gt;</t>
  </si>
  <si>
    <t>SLIS2020011126</t>
  </si>
  <si>
    <t>Mr Jan Rabaey</t>
  </si>
  <si>
    <t>janrabaey@gmail.com</t>
  </si>
  <si>
    <t>RDT2020011110</t>
  </si>
  <si>
    <t>Mr Kamil Latorre</t>
  </si>
  <si>
    <t>kamil_latorre@hotmail.co.uk</t>
  </si>
  <si>
    <t>RDT2020011107</t>
  </si>
  <si>
    <t>Mrs Jane Egleton</t>
  </si>
  <si>
    <t>jane.egleton@hotmail.co.uk</t>
  </si>
  <si>
    <t>SLIS2020011102</t>
  </si>
  <si>
    <t>NAZREENN</t>
  </si>
  <si>
    <t>Ms Sophie Elisa Elisa Arista</t>
  </si>
  <si>
    <t>sarista@aman.com</t>
  </si>
  <si>
    <t>RDT2020011099</t>
  </si>
  <si>
    <t>Ms Lilli Baldwin</t>
  </si>
  <si>
    <t>LBaldwin@fhi360.org</t>
  </si>
  <si>
    <t>RDT2020011093</t>
  </si>
  <si>
    <t>Mr Richard Barry  Simpson</t>
  </si>
  <si>
    <t>rbsimo@hotmail.com</t>
  </si>
  <si>
    <t>RDT2020011090</t>
  </si>
  <si>
    <t>Poland</t>
  </si>
  <si>
    <t>Lithuanian</t>
  </si>
  <si>
    <t>Mr Rytis zajanckauskas</t>
  </si>
  <si>
    <t>rytis.zajanckauskas@sananet.lt</t>
  </si>
  <si>
    <t>RDT2020011083</t>
  </si>
  <si>
    <t>Mr Mike Merrick</t>
  </si>
  <si>
    <t>mike.merrick2017@outlook.com</t>
  </si>
  <si>
    <t>RDT2020011073</t>
  </si>
  <si>
    <t>Mr Otto Tong</t>
  </si>
  <si>
    <t>ottotong@realholiday.com.hk</t>
  </si>
  <si>
    <t>SLIS2020011072</t>
  </si>
  <si>
    <t>Mr Moncousin Michel</t>
  </si>
  <si>
    <t>isa.michiels@skynet.be</t>
  </si>
  <si>
    <t>RDT2020011060</t>
  </si>
  <si>
    <t>Ms Suzanne Gundred De Warrenne Katkhuda</t>
  </si>
  <si>
    <t>suzannekatkhuda@btinternet.com</t>
  </si>
  <si>
    <t>RDT2020011059</t>
  </si>
  <si>
    <t>Ms Sofia Lindqvist</t>
  </si>
  <si>
    <t>Sofia.Lindqvist@astrazeneca.com</t>
  </si>
  <si>
    <t>SLIS2020011052</t>
  </si>
  <si>
    <t>Mr Simon Potts</t>
  </si>
  <si>
    <t>simon.potts@me.com</t>
  </si>
  <si>
    <t>RDT2020011050</t>
  </si>
  <si>
    <t>Ms Khadijay  Nanji</t>
  </si>
  <si>
    <t>kjnanji@gmail.com</t>
  </si>
  <si>
    <t>SLIS2020011049</t>
  </si>
  <si>
    <t>Jamaica</t>
  </si>
  <si>
    <t>Jamaican</t>
  </si>
  <si>
    <t>Ms Stephanie Campbell</t>
  </si>
  <si>
    <t>stephanierowena@live.com</t>
  </si>
  <si>
    <t>RDT2020011039</t>
  </si>
  <si>
    <t>Mr Dennis Jit Yin Wan</t>
  </si>
  <si>
    <t>the.dennis.wan@gmail.com</t>
  </si>
  <si>
    <t>SLIS2020011038</t>
  </si>
  <si>
    <t>THILINIM</t>
  </si>
  <si>
    <t>Mrs Charmaine Shaumya  Hood</t>
  </si>
  <si>
    <t>shaumya_cj@yahoo.com</t>
  </si>
  <si>
    <t>RDT2020011034</t>
  </si>
  <si>
    <t>KosalaG,NicolaW</t>
  </si>
  <si>
    <t>Mr David Illing</t>
  </si>
  <si>
    <t>davidilling30@aol.com</t>
  </si>
  <si>
    <t>RDT2020011031</t>
  </si>
  <si>
    <t>Ms Joanna Sugden</t>
  </si>
  <si>
    <t>sugdenjoanna@googlemail.com</t>
  </si>
  <si>
    <t>RDT2020011021</t>
  </si>
  <si>
    <t>Finnish</t>
  </si>
  <si>
    <t>Mrs Agata Sadowska</t>
  </si>
  <si>
    <t>Agata.sadowska@ymail.com</t>
  </si>
  <si>
    <t>RDT2019121012</t>
  </si>
  <si>
    <t>Ms Jan Simon</t>
  </si>
  <si>
    <t>andy.symon@flightcentre.com.au;jan.l.simon@icloud.com</t>
  </si>
  <si>
    <t>AUD</t>
  </si>
  <si>
    <t>RDT2019121009</t>
  </si>
  <si>
    <t>Ms Eleanor Butt</t>
  </si>
  <si>
    <t>Eleanorbutt@gmail.com</t>
  </si>
  <si>
    <t>RDT2019121008</t>
  </si>
  <si>
    <t>Bosnia and Herzegovina</t>
  </si>
  <si>
    <t>Ms Nera Nera</t>
  </si>
  <si>
    <t>nera.cosic@gmail.com</t>
  </si>
  <si>
    <t>RDT2019121007</t>
  </si>
  <si>
    <t>Mr Venkataraghavan Santhanam</t>
  </si>
  <si>
    <t>shanakamm@gmail.com</t>
  </si>
  <si>
    <t>RDT2019121006</t>
  </si>
  <si>
    <t>Mr Eduardo Garre x 02 clients</t>
  </si>
  <si>
    <t>Eduardogarrehernanz@gmail.com</t>
  </si>
  <si>
    <t>RDT2019121002</t>
  </si>
  <si>
    <t>Cyprus</t>
  </si>
  <si>
    <t>Cypriot</t>
  </si>
  <si>
    <t>Ms Anna  Kyprianou</t>
  </si>
  <si>
    <t>anna.kyprianou@gmail.com</t>
  </si>
  <si>
    <t>RDT2019121001</t>
  </si>
  <si>
    <t>Mr Bryant Detwiller</t>
  </si>
  <si>
    <t>bryant.detwiller@gmail.com</t>
  </si>
  <si>
    <t>RDT201912998</t>
  </si>
  <si>
    <t>Mr Utkarsh Garg</t>
  </si>
  <si>
    <t>utkarshgarg1110@gmail.com</t>
  </si>
  <si>
    <t>RDT201912992</t>
  </si>
  <si>
    <t>Mrs Rachel Richardson x 02 clients</t>
  </si>
  <si>
    <t>rachel.richardson@talk21.com</t>
  </si>
  <si>
    <t>RDT201912983</t>
  </si>
  <si>
    <t>Mr Sarah Booker</t>
  </si>
  <si>
    <t>booker4@btinternet.com</t>
  </si>
  <si>
    <t>RDT201912981</t>
  </si>
  <si>
    <t>Mr Jayne Gregory</t>
  </si>
  <si>
    <t>jayniegirl.jg@gmail.com</t>
  </si>
  <si>
    <t>SLIS201912980</t>
  </si>
  <si>
    <t>Mrs Christa  W&amp;uuml;thrich</t>
  </si>
  <si>
    <t>RDT201912979</t>
  </si>
  <si>
    <t>Mr Michael Cheung</t>
  </si>
  <si>
    <t>michaelcheung@hotmail.co.uk</t>
  </si>
  <si>
    <t>RDT201912973</t>
  </si>
  <si>
    <t>Ms Karen Parlett</t>
  </si>
  <si>
    <t>KAZZIEP@BTINTERNET.COM</t>
  </si>
  <si>
    <t>RDT201912970</t>
  </si>
  <si>
    <t>Mr Ravi Munjuluri</t>
  </si>
  <si>
    <t>ravi.munjuluri@gmail.com</t>
  </si>
  <si>
    <t>RDT201912969</t>
  </si>
  <si>
    <t>Ms Nicola Rachel  Holt</t>
  </si>
  <si>
    <t>nicolaholt.holt@gmail.com</t>
  </si>
  <si>
    <t>SLIS201912966</t>
  </si>
  <si>
    <t>NicolaW</t>
  </si>
  <si>
    <t>Sweden</t>
  </si>
  <si>
    <t>Mr Jim Haughwout</t>
  </si>
  <si>
    <t>jim.haughwout@gmail.com</t>
  </si>
  <si>
    <t>RDT201912958</t>
  </si>
  <si>
    <t>Mrs ,  Ann Koester Travers</t>
  </si>
  <si>
    <t>anntravers52@gmail.com</t>
  </si>
  <si>
    <t>SLIS201912953</t>
  </si>
  <si>
    <t>Mr Xavi Pascual</t>
  </si>
  <si>
    <t>xavi@promoartsmusic.com</t>
  </si>
  <si>
    <t>RDT201912951</t>
  </si>
  <si>
    <t>Mr Anthony  Nahas</t>
  </si>
  <si>
    <t>anthonynahas@yahoo.com</t>
  </si>
  <si>
    <t>RDT201912950</t>
  </si>
  <si>
    <t>Mr Silvia M Kreindel</t>
  </si>
  <si>
    <t>silvia.kreindel@usda.gov</t>
  </si>
  <si>
    <t>RDT201912946</t>
  </si>
  <si>
    <t>Mr BRYAN JOHN CHAPMAN</t>
  </si>
  <si>
    <t>SLIS201912944</t>
  </si>
  <si>
    <t>Mr Peter Ferguson</t>
  </si>
  <si>
    <t>pferg@melbpc.org.au</t>
  </si>
  <si>
    <t>SLIS201912939</t>
  </si>
  <si>
    <t>Mr Justin Mosier</t>
  </si>
  <si>
    <t>justin.mosier@gmail.com</t>
  </si>
  <si>
    <t>RDT201912938</t>
  </si>
  <si>
    <t>Mr Miguel Angel x 04 pax</t>
  </si>
  <si>
    <t>mapenar2@hotmail.com</t>
  </si>
  <si>
    <t>RDT201912936</t>
  </si>
  <si>
    <t>Ms Lynette Lee</t>
  </si>
  <si>
    <t>Lynetteme@gmail.com</t>
  </si>
  <si>
    <t>SLIS201912935</t>
  </si>
  <si>
    <t>Norway</t>
  </si>
  <si>
    <t>Norwegian</t>
  </si>
  <si>
    <t>Mr Dag Kittang</t>
  </si>
  <si>
    <t>dag.kittang@ntnu.no</t>
  </si>
  <si>
    <t>SLIS201912929</t>
  </si>
  <si>
    <t>Ms Megan Katherine  Lollar</t>
  </si>
  <si>
    <t>SLIS201912927</t>
  </si>
  <si>
    <t>Ms Victoria Buhler</t>
  </si>
  <si>
    <t>RDT201912920</t>
  </si>
  <si>
    <t>Mr Mark Morley</t>
  </si>
  <si>
    <t>bdjmorley@gmail.com</t>
  </si>
  <si>
    <t>RDT201912915</t>
  </si>
  <si>
    <t>Mr Alison Belamant</t>
  </si>
  <si>
    <t>aabelamant@gmail.com</t>
  </si>
  <si>
    <t>RDT201912914</t>
  </si>
  <si>
    <t>Mr Cristian Opris</t>
  </si>
  <si>
    <t>cristian.opris@gmail.com</t>
  </si>
  <si>
    <t>RDT201911912</t>
  </si>
  <si>
    <t>Mr Kartik Gupta</t>
  </si>
  <si>
    <t>ritikaxlri07@gmail.com</t>
  </si>
  <si>
    <t>RDT201911902</t>
  </si>
  <si>
    <t>Mr Daniel Jordan</t>
  </si>
  <si>
    <t>dan_jor09@hotmail.com</t>
  </si>
  <si>
    <t>RDT201911899</t>
  </si>
  <si>
    <t>KosalaG,LahiruK</t>
  </si>
  <si>
    <t>Mr Shaikh Anwar  Ishak</t>
  </si>
  <si>
    <t>anwar@agromedresources.com</t>
  </si>
  <si>
    <t>SLIS201911897</t>
  </si>
  <si>
    <t>Ms Aanal Chandaria</t>
  </si>
  <si>
    <t>aanal.chandaria@gmail.com</t>
  </si>
  <si>
    <t>RDT201911891</t>
  </si>
  <si>
    <t>Ms Marcia Scott</t>
  </si>
  <si>
    <t>marciascott.to@gmail.com</t>
  </si>
  <si>
    <t>RDT201911889</t>
  </si>
  <si>
    <t>Pakistan</t>
  </si>
  <si>
    <t>Pakistani</t>
  </si>
  <si>
    <t>Mr Javairia Shahid</t>
  </si>
  <si>
    <t>riash55@gmail.com</t>
  </si>
  <si>
    <t>RDT201911888</t>
  </si>
  <si>
    <t>Mr Malaka Talwatte</t>
  </si>
  <si>
    <t>SLIS201911882</t>
  </si>
  <si>
    <t>Mrs Alice Newton-Rex</t>
  </si>
  <si>
    <t>RDT201911867</t>
  </si>
  <si>
    <t>Mr Howie Kaler</t>
  </si>
  <si>
    <t>howie.kaler@gmail.com</t>
  </si>
  <si>
    <t>RDT201911866</t>
  </si>
  <si>
    <t>Mr Richard  Quakernaat</t>
  </si>
  <si>
    <t>rpquakernaat@yahoo.com.au</t>
  </si>
  <si>
    <t>RDT201911862</t>
  </si>
  <si>
    <t>Mrs Christina Poulton</t>
  </si>
  <si>
    <t>christinapoultoncreative@gmail.com</t>
  </si>
  <si>
    <t>RDT201911861</t>
  </si>
  <si>
    <t>Mr Kevin Kurian</t>
  </si>
  <si>
    <t>kevin_8924@hotmail.com</t>
  </si>
  <si>
    <t>RDT201911858</t>
  </si>
  <si>
    <t>Mrs Gemma Priggen</t>
  </si>
  <si>
    <t>gemma@academyfilms.com</t>
  </si>
  <si>
    <t>RDT201911855</t>
  </si>
  <si>
    <t>Mrs Freweyni Teclehaimanot</t>
  </si>
  <si>
    <t>freweyni@celinestockholm.se</t>
  </si>
  <si>
    <t>SLIS201911854</t>
  </si>
  <si>
    <t>DAVIDG</t>
  </si>
  <si>
    <t>Greece</t>
  </si>
  <si>
    <t>Mrs Aimilia Prokopi</t>
  </si>
  <si>
    <t>RDT201911844</t>
  </si>
  <si>
    <t>Mr Gareth  Copely</t>
  </si>
  <si>
    <t>Gareth.Copley@gettyimages.com&gt;</t>
  </si>
  <si>
    <t>RDT201911839</t>
  </si>
  <si>
    <t>Ms Caroline Lamb Lamb</t>
  </si>
  <si>
    <t>Carolinelamb@bigpond.com</t>
  </si>
  <si>
    <t>SLIS201911821</t>
  </si>
  <si>
    <t>michaeld</t>
  </si>
  <si>
    <t>Mr Nathan Sivagananathan</t>
  </si>
  <si>
    <t>SLIS201911819</t>
  </si>
  <si>
    <t>Mrs Lady  Sarah Younger</t>
  </si>
  <si>
    <t>safa949698@gmail.com</t>
  </si>
  <si>
    <t>RDT201911817</t>
  </si>
  <si>
    <t>Mr Chris Thrush</t>
  </si>
  <si>
    <t>christhrush@hotmail.co.uk</t>
  </si>
  <si>
    <t>SLIS201911813</t>
  </si>
  <si>
    <t>Ms Lazaro Ignacio Ros Fernandez - Matamoros</t>
  </si>
  <si>
    <t>belenrosv@gmail.com</t>
  </si>
  <si>
    <t>SLIS201911812</t>
  </si>
  <si>
    <t>Ms Lori  Vaerewyck</t>
  </si>
  <si>
    <t>RDT201911811</t>
  </si>
  <si>
    <t>SLIS201910799</t>
  </si>
  <si>
    <t>Mrs Gulnar Rahemtulla</t>
  </si>
  <si>
    <t>RDT201910796</t>
  </si>
  <si>
    <t>Mr Rashid Mansoor</t>
  </si>
  <si>
    <t>rlinfinity@gmail.com</t>
  </si>
  <si>
    <t>SLIS201910795</t>
  </si>
  <si>
    <t>DAVIDG,KosalaG</t>
  </si>
  <si>
    <t>Mr Edgardo Von Schroeders</t>
  </si>
  <si>
    <t>SLIS201910794</t>
  </si>
  <si>
    <t>Mr Toni Webber</t>
  </si>
  <si>
    <t>info@mrpaisleys.com.au</t>
  </si>
  <si>
    <t>RDT201910793</t>
  </si>
  <si>
    <t>Mr Michael Galloway</t>
  </si>
  <si>
    <t>kamil_latorre@hotmail.co.uk,michael.galloway@btinternet.com</t>
  </si>
  <si>
    <t>RDT201910786</t>
  </si>
  <si>
    <t>Mrs Ann  Horwitz</t>
  </si>
  <si>
    <t>RDT201910780</t>
  </si>
  <si>
    <t>Ms Denise Pearson</t>
  </si>
  <si>
    <t>deni06baa@gmail.com</t>
  </si>
  <si>
    <t>SLIS201910778</t>
  </si>
  <si>
    <t>Mr Tomas Kenny</t>
  </si>
  <si>
    <t>kennytomas@gmail.com</t>
  </si>
  <si>
    <t>RDT201910777</t>
  </si>
  <si>
    <t>Mrs Georgina  Hirdaramani</t>
  </si>
  <si>
    <t>georginahirdaramani@yahoo.co.uk</t>
  </si>
  <si>
    <t>RDT201910775</t>
  </si>
  <si>
    <t>Bahrain</t>
  </si>
  <si>
    <t>Mrs Marrianna Booker</t>
  </si>
  <si>
    <t>marrianab@yahoo.com</t>
  </si>
  <si>
    <t>RDT201910774</t>
  </si>
  <si>
    <t>Mrs Belinda Mary Laffling</t>
  </si>
  <si>
    <t>lafflings@gmail.com</t>
  </si>
  <si>
    <t>SLIS201910772</t>
  </si>
  <si>
    <t>Mr Rafael de la Torre Santana</t>
  </si>
  <si>
    <t>rafa@srilankainstyle.com</t>
  </si>
  <si>
    <t>RDT201910764</t>
  </si>
  <si>
    <t>Emirati</t>
  </si>
  <si>
    <t>Mr Nasir Ahmed</t>
  </si>
  <si>
    <t>RDT201910759</t>
  </si>
  <si>
    <t>Ms Valerie Ann  Hawkin</t>
  </si>
  <si>
    <t>Val.hawkin@btinternet.com</t>
  </si>
  <si>
    <t>RDT201910757</t>
  </si>
  <si>
    <t>Mr Joe Kenneth Jackson</t>
  </si>
  <si>
    <t>ken@jkjackson.com</t>
  </si>
  <si>
    <t>SLIS201910753</t>
  </si>
  <si>
    <t>Mr Philip Males</t>
  </si>
  <si>
    <t>psmales@hotmail.com</t>
  </si>
  <si>
    <t>SLIS201910748</t>
  </si>
  <si>
    <t>Mr Roberto Cunat</t>
  </si>
  <si>
    <t>SLIS201910746</t>
  </si>
  <si>
    <t>Mr Gautam Hazarika</t>
  </si>
  <si>
    <t>ghazarika70@yahoo.com.sg</t>
  </si>
  <si>
    <t>RDT201910744</t>
  </si>
  <si>
    <t>Mr John Alexander Charles  Morton</t>
  </si>
  <si>
    <t>johnacmorton@gmail.com</t>
  </si>
  <si>
    <t>RDT201910732</t>
  </si>
  <si>
    <t>Ms Charlotte  O’Hegarty</t>
  </si>
  <si>
    <t>ScoopsRO@outlook.com</t>
  </si>
  <si>
    <t>SLIS201910731</t>
  </si>
  <si>
    <t>MEVANTHAD</t>
  </si>
  <si>
    <t>Ms Chelsea Duce</t>
  </si>
  <si>
    <t>cmd4289@my.acm.ac.uk</t>
  </si>
  <si>
    <t>SLIS201910729</t>
  </si>
  <si>
    <t>Mrs Marcie Kohenak</t>
  </si>
  <si>
    <t>mkohenak@gmail.com</t>
  </si>
  <si>
    <t>SLIS201910720</t>
  </si>
  <si>
    <t>Ms Amanda Pfeiffer</t>
  </si>
  <si>
    <t>bizwiz.group@bigpond.com</t>
  </si>
  <si>
    <t>RDT201910715</t>
  </si>
  <si>
    <t>Mr Anthony David Smith</t>
  </si>
  <si>
    <t>tonysmive@hotmail.com</t>
  </si>
  <si>
    <t>SLIS201910709</t>
  </si>
  <si>
    <t>Mr Peter Harry  Edmonds</t>
  </si>
  <si>
    <t>Peter Edmonds &lt;pedmonds@senet.com.au&gt;</t>
  </si>
  <si>
    <t>RDT201910698</t>
  </si>
  <si>
    <t>Mr Martin Emil Brodbeck</t>
  </si>
  <si>
    <t>martin.e.brodbeck@gmail.com</t>
  </si>
  <si>
    <t>RDT201910696</t>
  </si>
  <si>
    <t>Mr Dilanke  Panagoda</t>
  </si>
  <si>
    <t>RDT201910695</t>
  </si>
  <si>
    <t>Mr Matthew Redfern</t>
  </si>
  <si>
    <t>mpredfern@googlemail.com</t>
  </si>
  <si>
    <t>RDT201910689</t>
  </si>
  <si>
    <t>Mrs Jessica Danks</t>
  </si>
  <si>
    <t>Jessica Danks &lt;jessicadanks@hotmail.com&gt;</t>
  </si>
  <si>
    <t>RDT201909682</t>
  </si>
  <si>
    <t>Mr Kiran Mediwake</t>
  </si>
  <si>
    <t>kgmaviates@gmail.com</t>
  </si>
  <si>
    <t>RDT201909674</t>
  </si>
  <si>
    <t>Mr Helmut Leonhartsberger</t>
  </si>
  <si>
    <t>leo.berger@gmx.at</t>
  </si>
  <si>
    <t>RDT201909673</t>
  </si>
  <si>
    <t>Ms Louise Thomson</t>
  </si>
  <si>
    <t>RDT201909670</t>
  </si>
  <si>
    <t>Ms Pia  Rampal</t>
  </si>
  <si>
    <t>piarampal@gmail.com</t>
  </si>
  <si>
    <t>SLIS201909668</t>
  </si>
  <si>
    <t>Mrs Mrs Ten</t>
  </si>
  <si>
    <t>RDT201909661</t>
  </si>
  <si>
    <t>Mrs Muriel Doherty</t>
  </si>
  <si>
    <t>muriel.jack@iafrica.com</t>
  </si>
  <si>
    <t>SLIS201909656</t>
  </si>
  <si>
    <t>Mrs MIchelle Vienet</t>
  </si>
  <si>
    <t>vienetg@bigpond.com</t>
  </si>
  <si>
    <t>RDT201909654</t>
  </si>
  <si>
    <t>Mr Prasanna .De. Mel</t>
  </si>
  <si>
    <t>Prasanna.De.Mel@sony.com</t>
  </si>
  <si>
    <t>RDT201909648</t>
  </si>
  <si>
    <t>Mrs Sarah Murphy</t>
  </si>
  <si>
    <t>mrssarahmurphy@hotmail.com</t>
  </si>
  <si>
    <t>SLIS201909643</t>
  </si>
  <si>
    <t>Mr David Simins</t>
  </si>
  <si>
    <t>David.simins@gmail.com</t>
  </si>
  <si>
    <t>RDT201909640</t>
  </si>
  <si>
    <t>Ms Alice Alexandra Milnes Hopkinson</t>
  </si>
  <si>
    <t>alice.hopkinson@gmail.com</t>
  </si>
  <si>
    <t>SLIS201909638</t>
  </si>
  <si>
    <t>Mrs Sandra Breakstone</t>
  </si>
  <si>
    <t>sandebell@aol.com</t>
  </si>
  <si>
    <t>RDT201909637</t>
  </si>
  <si>
    <t>Mr Sally Elizabeth Stenning</t>
  </si>
  <si>
    <t>s.stenning@btconnect.com</t>
  </si>
  <si>
    <t>RDT201909634</t>
  </si>
  <si>
    <t>Mr Dr Robert William Howlett</t>
  </si>
  <si>
    <t>robhowlett@me.com</t>
  </si>
  <si>
    <t>RDT201909631</t>
  </si>
  <si>
    <t>Ms Kelly AC</t>
  </si>
  <si>
    <t>kellymayac@gmail.com</t>
  </si>
  <si>
    <t>RDT201909624</t>
  </si>
  <si>
    <t>Mr Gilles Bruno VIEILLARD</t>
  </si>
  <si>
    <t>gilles_vieillard@yahoo.co.uk</t>
  </si>
  <si>
    <t>RDT201909623</t>
  </si>
  <si>
    <t>Mr John  Proctor</t>
  </si>
  <si>
    <t>SLIS201909621</t>
  </si>
  <si>
    <t>Mr Manuel Diez Bustamante</t>
  </si>
  <si>
    <t>laura.sanchez@pangea.es</t>
  </si>
  <si>
    <t>RDT201909619</t>
  </si>
  <si>
    <t>Mr Andrew Hilton Hutchinson</t>
  </si>
  <si>
    <t>twogomadindorset@gmail.com</t>
  </si>
  <si>
    <t>RDT201909616</t>
  </si>
  <si>
    <t>Mr Subbu Eassuwaren</t>
  </si>
  <si>
    <t>nathanpriya@gmail.com</t>
  </si>
  <si>
    <t>RDT201909614</t>
  </si>
  <si>
    <t>Ms Helen Maynard</t>
  </si>
  <si>
    <t>helen_maynard@hotmail.com</t>
  </si>
  <si>
    <t>RDT201909610</t>
  </si>
  <si>
    <t>Ms Shani Kugen</t>
  </si>
  <si>
    <t>shanikugen@gmail.com</t>
  </si>
  <si>
    <t>RDT201909608</t>
  </si>
  <si>
    <t>Ms Arrainya  Fernando</t>
  </si>
  <si>
    <t>deepaf@optusnet.com.au</t>
  </si>
  <si>
    <t>RDT201908607</t>
  </si>
  <si>
    <t>Ms Avi  Ivan</t>
  </si>
  <si>
    <t>Avilax@aol.com</t>
  </si>
  <si>
    <t>SLIS201908605</t>
  </si>
  <si>
    <t>KosalaG,RafaelT</t>
  </si>
  <si>
    <t>Mr Nuria Lag&amp;eacute; Al&amp;eacute;</t>
  </si>
  <si>
    <t>nlage68@gmail.com</t>
  </si>
  <si>
    <t>RDT201908604</t>
  </si>
  <si>
    <t>AmrickA</t>
  </si>
  <si>
    <t>Mr Dinesh  de Zoysa</t>
  </si>
  <si>
    <t>amrick@thefabulousgetaway.com</t>
  </si>
  <si>
    <t>RDT201908587</t>
  </si>
  <si>
    <t>Mr Ryan Mark Marsden</t>
  </si>
  <si>
    <t>marsden.ryan@gmail.com</t>
  </si>
  <si>
    <t>RDT201908586</t>
  </si>
  <si>
    <t>Mr Kumar Sangakkara</t>
  </si>
  <si>
    <t>dinuk@crystalsands.lk</t>
  </si>
  <si>
    <t>RDT201908580</t>
  </si>
  <si>
    <t>Mr David Kenneth Hopps</t>
  </si>
  <si>
    <t>david@thefabulousgetaway.com</t>
  </si>
  <si>
    <t>RDT201908579</t>
  </si>
  <si>
    <t>Mr John Robert Macrow</t>
  </si>
  <si>
    <t>SLIS201908575</t>
  </si>
  <si>
    <t>MICHAELD</t>
  </si>
  <si>
    <t>Mr Professor Rick Shine</t>
  </si>
  <si>
    <t>ruchira.somaweera@gmail.com</t>
  </si>
  <si>
    <t>RDT201908574</t>
  </si>
  <si>
    <t>Mr JERRY AIYATHURAI</t>
  </si>
  <si>
    <t>TUSKERFORT@GMAIL.COM</t>
  </si>
  <si>
    <t>RDT201908572</t>
  </si>
  <si>
    <t>Mr Jeremy Hugh Kennard</t>
  </si>
  <si>
    <t>jeremyhkennard@gmail.com</t>
  </si>
  <si>
    <t>RDT201908568</t>
  </si>
  <si>
    <t>Mr Hilary Smith</t>
  </si>
  <si>
    <t>hpsmith88@gmail.com</t>
  </si>
  <si>
    <t>SLIS201908564</t>
  </si>
  <si>
    <t>Mr Cristina Gavin Mart&amp;iacute;n</t>
  </si>
  <si>
    <t>cgavin@its.jnj.com</t>
  </si>
  <si>
    <t>RDT201908534</t>
  </si>
  <si>
    <t>Ms Priya Shah</t>
  </si>
  <si>
    <t>priyarshah@gmail.com</t>
  </si>
  <si>
    <t>RDT201908532</t>
  </si>
  <si>
    <t>Ms Anjana Rebecca  Das-Hasper</t>
  </si>
  <si>
    <t>anjanarebecca@hotmail.com</t>
  </si>
  <si>
    <t>SLIS201908528</t>
  </si>
  <si>
    <t>Ms Emma Rose Finding</t>
  </si>
  <si>
    <t>emma@thisisbeyond.com</t>
  </si>
  <si>
    <t>SLIS201908527</t>
  </si>
  <si>
    <t>Ms Jacqueline Grace Shafiroff</t>
  </si>
  <si>
    <t>SLIS201908521</t>
  </si>
  <si>
    <t>Mr PETER DOBSON</t>
  </si>
  <si>
    <t>SLIS201908519</t>
  </si>
  <si>
    <t>Mr Amanda  Parkes</t>
  </si>
  <si>
    <t>RDT201908514</t>
  </si>
  <si>
    <t>Ms Louise McArthur</t>
  </si>
  <si>
    <t>lmcarthur007@hotmail.com</t>
  </si>
  <si>
    <t>SLIS201908510</t>
  </si>
  <si>
    <t>Mr Patrick Duffy</t>
  </si>
  <si>
    <t>connect2@cfw.center</t>
  </si>
  <si>
    <t>SLIS201908508</t>
  </si>
  <si>
    <t>Mr Marko Matysik</t>
  </si>
  <si>
    <t>SLIS201908507</t>
  </si>
  <si>
    <t>Mr Alfredo Ramirez</t>
  </si>
  <si>
    <t>SLIS201908506</t>
  </si>
  <si>
    <t>Mr Camilla Fitz-Patrick</t>
  </si>
  <si>
    <t>SLIS201908500</t>
  </si>
  <si>
    <t>Jersey</t>
  </si>
  <si>
    <t>Mr Ian Simpson</t>
  </si>
  <si>
    <t>ian.simpson44@hotmail.com</t>
  </si>
  <si>
    <t>RDT201908499</t>
  </si>
  <si>
    <t>Mr Anders Strand</t>
  </si>
  <si>
    <t>RDT201908494</t>
  </si>
  <si>
    <t>Mr Tobias Wahl</t>
  </si>
  <si>
    <t>wahlanna17@gmail.com</t>
  </si>
  <si>
    <t>EUR</t>
  </si>
  <si>
    <t>RDT201908492</t>
  </si>
  <si>
    <t>Mr Michael  Siva</t>
  </si>
  <si>
    <t>rikaz@thefabulousgetaway.com</t>
  </si>
  <si>
    <t>RDT201908490</t>
  </si>
  <si>
    <t>Mr Simon Ralph  Hughes</t>
  </si>
  <si>
    <t>,simonhughes14@icloud.com</t>
  </si>
  <si>
    <t>RDT201908488</t>
  </si>
  <si>
    <t>Mr Mary Morley</t>
  </si>
  <si>
    <t>mehmorley@gmail.com</t>
  </si>
  <si>
    <t>RDT201907459</t>
  </si>
  <si>
    <t>RachelB</t>
  </si>
  <si>
    <t>Oman</t>
  </si>
  <si>
    <t>American,Omani</t>
  </si>
  <si>
    <t>Ms Daniela Salazar</t>
  </si>
  <si>
    <t>danielasalazar1989@gmail.com,danielasalazar1989@gmail.com</t>
  </si>
  <si>
    <t>RDT201907448</t>
  </si>
  <si>
    <t>Ms Erica Gilmore</t>
  </si>
  <si>
    <t>sarah.pringle@visualartsprojects.com</t>
  </si>
  <si>
    <t>RDT201907447</t>
  </si>
  <si>
    <t>Mr Stephen Paul Southward</t>
  </si>
  <si>
    <t>stephen.southward@nhs.net</t>
  </si>
  <si>
    <t>SLIS201907443</t>
  </si>
  <si>
    <t>Mr Bernard Brideau</t>
  </si>
  <si>
    <t>RDT201907429</t>
  </si>
  <si>
    <t>Mrs Griz Gordon</t>
  </si>
  <si>
    <t>grizgordon@gmail.com</t>
  </si>
  <si>
    <t>RDT201907423</t>
  </si>
  <si>
    <t>Mr Cherry  Hermon</t>
  </si>
  <si>
    <t>c.hermon@xtra.co.nz</t>
  </si>
  <si>
    <t>RDT201907417</t>
  </si>
  <si>
    <t>Mr Uttum Corea</t>
  </si>
  <si>
    <t>uttum.dinky.corea@gmail.com</t>
  </si>
  <si>
    <t>SLIS201907413</t>
  </si>
  <si>
    <t>Mr Julia Ward-Osseiran</t>
  </si>
  <si>
    <t>jules.ward@hotmail.com</t>
  </si>
  <si>
    <t>RDT201907412</t>
  </si>
  <si>
    <t>Mr Michael Siva</t>
  </si>
  <si>
    <t>SLIS201907411</t>
  </si>
  <si>
    <t>KosalaG,ManoriP,RafaelT</t>
  </si>
  <si>
    <t>Mr Cistina Lopez</t>
  </si>
  <si>
    <t>,clopezpascua@gmail.com</t>
  </si>
  <si>
    <t>SLIS201907410</t>
  </si>
  <si>
    <t>ManoriP,RafaelT</t>
  </si>
  <si>
    <t>Mr Javier Pinilla</t>
  </si>
  <si>
    <t>jpinilla@deloitte.es</t>
  </si>
  <si>
    <t>RDT201907402</t>
  </si>
  <si>
    <t>Mr Cherry Hermon</t>
  </si>
  <si>
    <t>c.hermon@xtra.co.nz / randsabraham@gmail.c</t>
  </si>
  <si>
    <t>RDT201907392</t>
  </si>
  <si>
    <t>Mr Charles Heathcote-Smith Heathcote-Smith</t>
  </si>
  <si>
    <t>jo.heathcote-smith@orange.fr</t>
  </si>
  <si>
    <t>SLIS201906378</t>
  </si>
  <si>
    <t>Mr Kim Hayman</t>
  </si>
  <si>
    <t>khayman@hrcs.com.au</t>
  </si>
  <si>
    <t>RDT201906373</t>
  </si>
  <si>
    <t>Mr Marion Joyce  Joseph</t>
  </si>
  <si>
    <t>marion.joseph@bigpond.com</t>
  </si>
  <si>
    <t>RDT201906371</t>
  </si>
  <si>
    <t>Mr Simon Charles Collins  Ward</t>
  </si>
  <si>
    <t>sccward96@hotmail.com</t>
  </si>
  <si>
    <t>RDT201906370</t>
  </si>
  <si>
    <t>Mr Michael Colin  Oliver</t>
  </si>
  <si>
    <t>SLIS201906367</t>
  </si>
  <si>
    <t>Mr Elvira Marco</t>
  </si>
  <si>
    <t>,elvira.marcom@gmail.com</t>
  </si>
  <si>
    <t>SLIS201906352</t>
  </si>
  <si>
    <t>Mr Lorena Arrieta</t>
  </si>
  <si>
    <t>lorelainarrieta@gmail.com</t>
  </si>
  <si>
    <t>RDT201906351</t>
  </si>
  <si>
    <t>Mr Christopher Rodwell  Jelley</t>
  </si>
  <si>
    <t>Chris.jelley43@gmail.com</t>
  </si>
  <si>
    <t>RDT201906339</t>
  </si>
  <si>
    <t>Mrs Elisabeth Claire Dixon</t>
  </si>
  <si>
    <t>liscdixon@gmail.com</t>
  </si>
  <si>
    <t>SLIS201906338</t>
  </si>
  <si>
    <t>Mrs Pamela Liyanage</t>
  </si>
  <si>
    <t>liyanage.workshops@gmail.com</t>
  </si>
  <si>
    <t>SLIS201906337</t>
  </si>
  <si>
    <t>Mr Wendy Thompson</t>
  </si>
  <si>
    <t>wendy@maestrolaw.com</t>
  </si>
  <si>
    <t>SLIS201906334</t>
  </si>
  <si>
    <t>Mr Francisco Javier Bueno Miras</t>
  </si>
  <si>
    <t>XBUENO@ECONOMISTES.CAT</t>
  </si>
  <si>
    <t>SLIS201906329</t>
  </si>
  <si>
    <t>Mr Michael Blanchflower</t>
  </si>
  <si>
    <t>RDT201906328</t>
  </si>
  <si>
    <t>tnorden@conran.com</t>
  </si>
  <si>
    <t>SLIS201906325</t>
  </si>
  <si>
    <t>Mr Carmen Martin Albert</t>
  </si>
  <si>
    <t>Carmen.martinalbert@gmail.com</t>
  </si>
  <si>
    <t>RDT201906323</t>
  </si>
  <si>
    <t>British Virgin Islands</t>
  </si>
  <si>
    <t>Mr Robert James Stewart Carswell</t>
  </si>
  <si>
    <t>RDT201906318</t>
  </si>
  <si>
    <t>Mr Jenny Ann  Marriott</t>
  </si>
  <si>
    <t>RDT201906312</t>
  </si>
  <si>
    <t>DinuS</t>
  </si>
  <si>
    <t>Mr Julia  Julia</t>
  </si>
  <si>
    <t>gojupe@hotmail.co.uk</t>
  </si>
  <si>
    <t>RDT201906309</t>
  </si>
  <si>
    <t>Mr Ronald Piers  Abraham</t>
  </si>
  <si>
    <t>Ronald - randsabraham@gmail.com</t>
  </si>
  <si>
    <t>RDT201906308</t>
  </si>
  <si>
    <t>Mr Harriet Stevens</t>
  </si>
  <si>
    <t>hatsjerv@hotmail.com</t>
  </si>
  <si>
    <t>RDT201906306</t>
  </si>
  <si>
    <t>Mr Dr. Ifat  Barnes</t>
  </si>
  <si>
    <t>If_Barnes@yahoo.co.uk</t>
  </si>
  <si>
    <t>RDT201906305</t>
  </si>
  <si>
    <t>Mr Kyle Karim</t>
  </si>
  <si>
    <t>kylehkarim@gmail.com</t>
  </si>
  <si>
    <t>RDT201906304</t>
  </si>
  <si>
    <t>Mr Claire Louise Douglas Douglas</t>
  </si>
  <si>
    <t>clairewilson77@gmail.com</t>
  </si>
  <si>
    <t>SLIS201906302</t>
  </si>
  <si>
    <t>Mr Sebasti&amp;aacute;n Dubayle</t>
  </si>
  <si>
    <t>sdubayle@gmail.com</t>
  </si>
  <si>
    <t>SLIS201906296</t>
  </si>
  <si>
    <t>Ms Maria Concepcion Medina Eusebio</t>
  </si>
  <si>
    <t>comedieb@yahoo.es</t>
  </si>
  <si>
    <t>RDT201906292</t>
  </si>
  <si>
    <t>Mr Karen  Stoner</t>
  </si>
  <si>
    <t>Karen.stoner@ymail.com</t>
  </si>
  <si>
    <t>RDT201906287</t>
  </si>
  <si>
    <t>Mr Jane Bunt</t>
  </si>
  <si>
    <t>Jane.bunt@btinternet.com</t>
  </si>
  <si>
    <t>RDT201906286</t>
  </si>
  <si>
    <t>Mr Jorg Ren&amp;eacute; Kostenbader</t>
  </si>
  <si>
    <t>jrkostenbader@gmx.ch</t>
  </si>
  <si>
    <t>RDT201906285</t>
  </si>
  <si>
    <t>Italy</t>
  </si>
  <si>
    <t>Mr Sarah-Ashley Wright</t>
  </si>
  <si>
    <t>Swright2905@gmail.com</t>
  </si>
  <si>
    <t>RDT201906284</t>
  </si>
  <si>
    <t>Mr Diego Alegre</t>
  </si>
  <si>
    <t>Porteno.dea@gmail.com</t>
  </si>
  <si>
    <t>SLIS201906274</t>
  </si>
  <si>
    <t>DylanR</t>
  </si>
  <si>
    <t>Mr Graham  Antony</t>
  </si>
  <si>
    <t>Graham.Antony@aurecongroup.com</t>
  </si>
  <si>
    <t>RDT201906273</t>
  </si>
  <si>
    <t>Mr Freddie  Hobart</t>
  </si>
  <si>
    <t>fhobart@deloitte.co.uk</t>
  </si>
  <si>
    <t>RDT201906272</t>
  </si>
  <si>
    <t>DinuS,KosalaG</t>
  </si>
  <si>
    <t>Mr Paul  Marsh</t>
  </si>
  <si>
    <t>charlottethrower@hotmail.com</t>
  </si>
  <si>
    <t>RDT201906270</t>
  </si>
  <si>
    <t>RDT201905261</t>
  </si>
  <si>
    <t>Mr Anne Soerbraaten</t>
  </si>
  <si>
    <t>anne.sorbraten@ipsos.com</t>
  </si>
  <si>
    <t>RDT201905260</t>
  </si>
  <si>
    <t>Mr Flora Grace Cameron  Easton</t>
  </si>
  <si>
    <t>,flora.easton@hotmail.co.uk</t>
  </si>
  <si>
    <t>RDT201905259</t>
  </si>
  <si>
    <t>Mr Gayda Kilajy  Hanna</t>
  </si>
  <si>
    <t>gayda@cox.net</t>
  </si>
  <si>
    <t>RDT201905258</t>
  </si>
  <si>
    <t>Mr Carl Bruce  Piercy</t>
  </si>
  <si>
    <t>cpiercy@tangentlink.com</t>
  </si>
  <si>
    <t>RDT201905257</t>
  </si>
  <si>
    <t>Mr Manoharan Kanagalingam</t>
  </si>
  <si>
    <t>monoeng@hotmail.com</t>
  </si>
  <si>
    <t>RDT201905255</t>
  </si>
  <si>
    <t>Mr Victoria Mary Clare  Williams</t>
  </si>
  <si>
    <t>toriwilliams85@hotmail.com</t>
  </si>
  <si>
    <t>SLIS201905253</t>
  </si>
  <si>
    <t>MevanthaD</t>
  </si>
  <si>
    <t>Mr Jane Barker</t>
  </si>
  <si>
    <t>,jjaks66@gmail.com</t>
  </si>
  <si>
    <t>RDT201905233</t>
  </si>
  <si>
    <t>Mr Andrew Norman  Hues</t>
  </si>
  <si>
    <t>sarahhues@hotmail.co.uk</t>
  </si>
  <si>
    <t>SLIS201905228</t>
  </si>
  <si>
    <t>AndreP</t>
  </si>
  <si>
    <t>Mr Gregory Bornet</t>
  </si>
  <si>
    <t>,greg.bornet@gmail.com</t>
  </si>
  <si>
    <t>RDT201905226</t>
  </si>
  <si>
    <t>Mr Andrea  Julius</t>
  </si>
  <si>
    <t>andrea.julius@talktalk.net</t>
  </si>
  <si>
    <t>RDT201905223</t>
  </si>
  <si>
    <t>Mr Dilly Bernadette Rowe</t>
  </si>
  <si>
    <t>dillyrowe98@gmail.com</t>
  </si>
  <si>
    <t>SLIS201905221</t>
  </si>
  <si>
    <t>TuanK</t>
  </si>
  <si>
    <t>Mr Maria Hernandez Herrador</t>
  </si>
  <si>
    <t>mahhyudo@hotmail.com</t>
  </si>
  <si>
    <t>SLIS201905220</t>
  </si>
  <si>
    <t>RDT201905219</t>
  </si>
  <si>
    <t>Mr Dinesh Khanna</t>
  </si>
  <si>
    <t>din_esh17@yahoo.com</t>
  </si>
  <si>
    <t>RDT201905214</t>
  </si>
  <si>
    <t>Mr Ian Alan Garraway</t>
  </si>
  <si>
    <t>Iangarraway@hotmail.com</t>
  </si>
  <si>
    <t>RDT201905210</t>
  </si>
  <si>
    <t>Mr Lucy Megan  Cococcia</t>
  </si>
  <si>
    <t>lucyoneill@hotmail.com</t>
  </si>
  <si>
    <t>SLIS201905209</t>
  </si>
  <si>
    <t>DiendraW</t>
  </si>
  <si>
    <t>Mr Henry Richard Maitland Pugh</t>
  </si>
  <si>
    <t>henrypugh@hotmail.com / electrakaridis@gmail.com</t>
  </si>
  <si>
    <t>RDT201905207</t>
  </si>
  <si>
    <t>Mr Paul  Wells</t>
  </si>
  <si>
    <t>mrpaulmwells@gmail.com</t>
  </si>
  <si>
    <t>RDT201905206</t>
  </si>
  <si>
    <t>Mr Catharine Hamilton  Bangham</t>
  </si>
  <si>
    <t>catharinebangham@hotmail.com</t>
  </si>
  <si>
    <t>RDT201905203</t>
  </si>
  <si>
    <t>Mr Carly Suzanne  Povey</t>
  </si>
  <si>
    <t>cspovey@icloud.com</t>
  </si>
  <si>
    <t>RDT201905202</t>
  </si>
  <si>
    <t>Mr Naresh  Kumar</t>
  </si>
  <si>
    <t>nareshkumar41@hotmail.com</t>
  </si>
  <si>
    <t>RDT201905199</t>
  </si>
  <si>
    <t>Mr Jan Steadman</t>
  </si>
  <si>
    <t>steadman.jan@gmail.com</t>
  </si>
  <si>
    <t>RDT201905196</t>
  </si>
  <si>
    <t>Ms Kate Cohen</t>
  </si>
  <si>
    <t>katelarajoseph@gmail.com / adamkatekc@gmail.com</t>
  </si>
  <si>
    <t>RDT201905194</t>
  </si>
  <si>
    <t>Mr Sally Elizabeth de Zwaan</t>
  </si>
  <si>
    <t>sallydz1@gmail.com</t>
  </si>
  <si>
    <t>RDT201905193</t>
  </si>
  <si>
    <t>Mr Romesh Navaratnam</t>
  </si>
  <si>
    <t>RDT201905190</t>
  </si>
  <si>
    <t>LAHIRUK</t>
  </si>
  <si>
    <t>Mr Gilles Jean Pierre Palmier</t>
  </si>
  <si>
    <t>gilles.palmier42@gmail.com</t>
  </si>
  <si>
    <t>RDT201905189</t>
  </si>
  <si>
    <t>Mr Alexander Jones</t>
  </si>
  <si>
    <t>alexjbj@gmail.com</t>
  </si>
  <si>
    <t>RDT201905188</t>
  </si>
  <si>
    <t>RDT201905187</t>
  </si>
  <si>
    <t>Mr Rangika Ariyaratne</t>
  </si>
  <si>
    <t>RDT201905185</t>
  </si>
  <si>
    <t>Mr Xaver Niels Rustemeyer</t>
  </si>
  <si>
    <t>xaver.rustemeyer@gmail.com</t>
  </si>
  <si>
    <t>RDT201905182</t>
  </si>
  <si>
    <t>Mr Erwan Huard</t>
  </si>
  <si>
    <t>RDT201905181</t>
  </si>
  <si>
    <t>Mr Lodewijk Henry</t>
  </si>
  <si>
    <t>lodewijkhenry@gmail.com,lodewijkhenry@gmail.com</t>
  </si>
  <si>
    <t>RDT201905180</t>
  </si>
  <si>
    <t>Mr Valerie Humphreys</t>
  </si>
  <si>
    <t>valhumphreys@hotmail.com</t>
  </si>
  <si>
    <t>RDT201905178</t>
  </si>
  <si>
    <t>Mr Michael Dean</t>
  </si>
  <si>
    <t>remwdean@bigpond.net.au</t>
  </si>
  <si>
    <t>RDT201905173</t>
  </si>
  <si>
    <t>Mr Elizabeth Allen</t>
  </si>
  <si>
    <t>SLIS201905170</t>
  </si>
  <si>
    <t>Mr Diego Barcelo Perez</t>
  </si>
  <si>
    <t>SLIS201905164</t>
  </si>
  <si>
    <t>Mr Alan  Patrick</t>
  </si>
  <si>
    <t>RDT201905160</t>
  </si>
  <si>
    <t>michael.galloway@btinternet.com</t>
  </si>
  <si>
    <t>RDT201905159</t>
  </si>
  <si>
    <t>Mr Andrew Watts</t>
  </si>
  <si>
    <t>Andrew.nicholas.watts@gmail.com</t>
  </si>
  <si>
    <t>RDT201905158</t>
  </si>
  <si>
    <t>Mr Milajka Deceuninck</t>
  </si>
  <si>
    <t>Milajkad@gmail.com</t>
  </si>
  <si>
    <t>RDT201905157</t>
  </si>
  <si>
    <t>Mr Rebecca Wiles</t>
  </si>
  <si>
    <t>Rebecca_wiles@hotmail.com</t>
  </si>
  <si>
    <t>RDT201905156</t>
  </si>
  <si>
    <t>Mr Angela Mak</t>
  </si>
  <si>
    <t>lloydadrian@hotmail.com</t>
  </si>
  <si>
    <t>RDT201905155</t>
  </si>
  <si>
    <t>Mr Adrian Lloyd</t>
  </si>
  <si>
    <t>RDT201905154</t>
  </si>
  <si>
    <t>Mr Miriam Dwek</t>
  </si>
  <si>
    <t>miriamdwek@hotmail.com</t>
  </si>
  <si>
    <t>RDT201905153</t>
  </si>
  <si>
    <t>China</t>
  </si>
  <si>
    <t>Chinese</t>
  </si>
  <si>
    <t>Mr Su LI Chan</t>
  </si>
  <si>
    <t>Sulichan22@hotmail.com</t>
  </si>
  <si>
    <t>RDT201905152</t>
  </si>
  <si>
    <t>Mr Philip Bergqvist</t>
  </si>
  <si>
    <t>Philip@bergqvist.co.uk</t>
  </si>
  <si>
    <t>RDT201905151</t>
  </si>
  <si>
    <t>Mr Stuart Martin</t>
  </si>
  <si>
    <t>swmartin44@btinternet.com</t>
  </si>
  <si>
    <t>RDT201905150</t>
  </si>
  <si>
    <t>Mr Jillian Rogers</t>
  </si>
  <si>
    <t>jillian.goh@gmail.com</t>
  </si>
  <si>
    <t>RDT201905143</t>
  </si>
  <si>
    <t>Mr Whilliam Fredrick Kelly</t>
  </si>
  <si>
    <t>fred.f.kelly@gmail.com</t>
  </si>
  <si>
    <t>SLIS201904135</t>
  </si>
  <si>
    <t>Mrs Rosa Maria Costales Blanco</t>
  </si>
  <si>
    <t>rosacostalescb@hotmail.com</t>
  </si>
  <si>
    <t>RDT201904120</t>
  </si>
  <si>
    <t>Mr Lisa Luckhoo</t>
  </si>
  <si>
    <t>lisaluckhoo@yahoo.co.uk</t>
  </si>
  <si>
    <t>RDT201904118</t>
  </si>
  <si>
    <t>Mr Darde Thierry</t>
  </si>
  <si>
    <t>dardethierry@gmail.com</t>
  </si>
  <si>
    <t>RDT201904101</t>
  </si>
  <si>
    <t>Mr Emma H owe</t>
  </si>
  <si>
    <t>mmalucyhowe@gmail.com</t>
  </si>
  <si>
    <t>RDT20190487</t>
  </si>
  <si>
    <t>Mr John Austin</t>
  </si>
  <si>
    <t>austinjohn@outlook.com</t>
  </si>
  <si>
    <t>RDT20190470</t>
  </si>
  <si>
    <t>Mr Albert Arbuthnott</t>
  </si>
  <si>
    <t>albertarbuthnott@gmail.com</t>
  </si>
  <si>
    <t>RDT20190468</t>
  </si>
  <si>
    <t>Ms Laila Stange</t>
  </si>
  <si>
    <t>ailastange@gmail.com</t>
  </si>
  <si>
    <t>SLIS20190464</t>
  </si>
  <si>
    <t>Ms Dr Ruvanya Illensinghe</t>
  </si>
  <si>
    <t>ruvanya.illesinghe@gmail.com</t>
  </si>
  <si>
    <t>RDT20190452</t>
  </si>
  <si>
    <t>Mr  Jeremy  Clayton</t>
  </si>
  <si>
    <t>jeremy.clayton@ewpepper.co.uk</t>
  </si>
  <si>
    <t>RDT20190444</t>
  </si>
  <si>
    <t>Mr Robert Anthony Parker</t>
  </si>
  <si>
    <t>rob@gardenperfect.com</t>
  </si>
  <si>
    <t>RDT20190438</t>
  </si>
  <si>
    <t>Guatemala</t>
  </si>
  <si>
    <t>Guatemalan</t>
  </si>
  <si>
    <t>Ms Regina Solares</t>
  </si>
  <si>
    <t>areginasl@yahoo.com</t>
  </si>
  <si>
    <t>RDT20190412</t>
  </si>
  <si>
    <t>Ms KRISHNASWAMY SETHUMADHAVAN</t>
  </si>
  <si>
    <t>pappudu@gmail.com</t>
  </si>
  <si>
    <t>RDT20190410</t>
  </si>
  <si>
    <t>Mr Marina Albrecht</t>
  </si>
  <si>
    <t>urbanizma@gmail.com</t>
  </si>
  <si>
    <t>SLIS2019048</t>
  </si>
  <si>
    <t>Mrs Jennifer Andrews</t>
  </si>
  <si>
    <t>,jandrews8@gmail.com</t>
  </si>
  <si>
    <t>SLIS2019046</t>
  </si>
  <si>
    <t>Mr Diane  Nittke</t>
  </si>
  <si>
    <t>diane_nittke@mac.com</t>
  </si>
  <si>
    <t>RDT2019034</t>
  </si>
  <si>
    <t>Mr Andrew Came</t>
  </si>
  <si>
    <t>Came.andrew@gmail.com / anlisacame@yahoo.co.uk</t>
  </si>
  <si>
    <t>No</t>
  </si>
  <si>
    <t>Row Labels</t>
  </si>
  <si>
    <t>January</t>
  </si>
  <si>
    <t>February</t>
  </si>
  <si>
    <t>March</t>
  </si>
  <si>
    <t>April</t>
  </si>
  <si>
    <t>May</t>
  </si>
  <si>
    <t>June</t>
  </si>
  <si>
    <t>July</t>
  </si>
  <si>
    <t>August</t>
  </si>
  <si>
    <t>September</t>
  </si>
  <si>
    <t>October</t>
  </si>
  <si>
    <t>November</t>
  </si>
  <si>
    <t>December</t>
  </si>
  <si>
    <t>Grand Total</t>
  </si>
  <si>
    <t>Sum of Night</t>
  </si>
  <si>
    <t>2023</t>
  </si>
  <si>
    <t>Sum of value</t>
  </si>
  <si>
    <t xml:space="preserve"> </t>
  </si>
  <si>
    <t>(blank)</t>
  </si>
  <si>
    <t>(All)</t>
  </si>
  <si>
    <t>2019</t>
  </si>
  <si>
    <t>2020</t>
  </si>
  <si>
    <t>2021</t>
  </si>
  <si>
    <t>2022</t>
  </si>
  <si>
    <t>2024</t>
  </si>
  <si>
    <t>RDT2024034551</t>
  </si>
  <si>
    <t>Ms Angelique Lott LLanas</t>
  </si>
  <si>
    <t>allanas73@outlook.com</t>
  </si>
  <si>
    <t>RDT2024024350</t>
  </si>
  <si>
    <t>Mrs Jade Wong</t>
  </si>
  <si>
    <t>wongjadeom@gmail.com</t>
  </si>
  <si>
    <t>RDT2024024300</t>
  </si>
  <si>
    <t>Mrs Amy  Howett</t>
  </si>
  <si>
    <t>amyhedgerhowett@gmail.com</t>
  </si>
  <si>
    <t>RDT2024024299</t>
  </si>
  <si>
    <t>Mr Lucy Madeleine Young</t>
  </si>
  <si>
    <t>lucyyoung00@gmail.com</t>
  </si>
  <si>
    <t>RDT2024024133</t>
  </si>
  <si>
    <t>Mr Tony  Reece</t>
  </si>
  <si>
    <t>reecer@blueyonder.co.uk</t>
  </si>
  <si>
    <t>RDT2024014005</t>
  </si>
  <si>
    <t>Mr Oliver John Irons</t>
  </si>
  <si>
    <t>Oliver.Irons@simmons-simmons.com</t>
  </si>
  <si>
    <t>RDT2024013846</t>
  </si>
  <si>
    <t>Mrs Andrea  Marianne Julius</t>
  </si>
  <si>
    <t>andrea@julius.org.uk : tony@julius.org.uk</t>
  </si>
  <si>
    <t>SLIS2023113577</t>
  </si>
  <si>
    <t>Mrs Kirsty Johns</t>
  </si>
  <si>
    <t>kirsty.johns88@yahoo.co.uk</t>
  </si>
  <si>
    <t>RDT2023093280</t>
  </si>
  <si>
    <t>Ms Shirlene  Elizabeth Ollington</t>
  </si>
  <si>
    <t>shirlene_63@hotmail.com</t>
  </si>
  <si>
    <t>RDT2023063056</t>
  </si>
  <si>
    <t>Mr John  Colton</t>
  </si>
  <si>
    <t>jc@holdsworth-foods.co.uk</t>
  </si>
  <si>
    <t>KosalaG,nicolaw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</si>
</sst>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d\ mmm\ yyyy"/>
    <numFmt numFmtId="166" formatCode="_(* #,##0_);_(* \(#,##0\);_(* &quot;-&quot;??_);_(@_)"/>
  </numFmts>
  <fonts count="3">
    <font>
      <sz val="11"/>
      <color theme="1"/>
      <name val="Aptos Narrow"/>
      <family val="2"/>
      <scheme val="minor"/>
    </font>
    <font>
      <sz val="11"/>
      <color theme="1"/>
      <name val="Aptos Narrow"/>
      <family val="2"/>
      <scheme val="minor"/>
    </font>
    <font>
      <b/>
      <sz val="11"/>
      <color indexed="8"/>
      <name val="Calibri"/>
      <family val="2"/>
    </font>
  </fonts>
  <fills count="4">
    <fill>
      <patternFill patternType="none"/>
    </fill>
    <fill>
      <patternFill patternType="gray125"/>
    </fill>
    <fill>
      <patternFill patternType="solid">
        <fgColor theme="7" tint="-0.499984740745262"/>
        <bgColor indexed="64"/>
      </patternFill>
    </fill>
    <fill>
      <patternFill patternType="solid">
        <fgColor theme="7" tint="0.79998168889431442"/>
        <bgColor indexed="64"/>
      </patternFill>
    </fill>
  </fills>
  <borders count="2">
    <border>
      <left/>
      <right/>
      <top/>
      <bottom/>
      <diagonal/>
    </border>
    <border>
      <left/>
      <right/>
      <top style="thin">
        <color indexed="8"/>
      </top>
      <bottom/>
      <diagonal/>
    </border>
  </borders>
  <cellStyleXfs count="2">
    <xf numFmtId="0" fontId="0" fillId="0" borderId="0"/>
    <xf numFmtId="164" fontId="1" fillId="0" borderId="0" applyFont="0" applyFill="0" applyBorder="0" applyAlignment="0" applyProtection="0"/>
  </cellStyleXfs>
  <cellXfs count="15">
    <xf numFmtId="0" fontId="0" fillId="0" borderId="0" xfId="0"/>
    <xf numFmtId="0" fontId="2" fillId="0" borderId="1" xfId="0" applyFont="1" applyBorder="1" applyAlignment="1">
      <alignment horizontal="center"/>
    </xf>
    <xf numFmtId="1" fontId="2" fillId="0" borderId="1" xfId="0" applyNumberFormat="1" applyFont="1" applyBorder="1" applyAlignment="1">
      <alignment horizontal="center"/>
    </xf>
    <xf numFmtId="0" fontId="2" fillId="0" borderId="0" xfId="0" applyFont="1" applyAlignment="1">
      <alignment horizontal="center"/>
    </xf>
    <xf numFmtId="0" fontId="0" fillId="0" borderId="0" xfId="0" applyAlignment="1">
      <alignment horizontal="center"/>
    </xf>
    <xf numFmtId="165" fontId="0" fillId="0" borderId="0" xfId="0" applyNumberFormat="1" applyAlignment="1">
      <alignment horizontal="center"/>
    </xf>
    <xf numFmtId="1" fontId="0" fillId="0" borderId="0" xfId="0" applyNumberFormat="1" applyAlignment="1">
      <alignment horizontal="center"/>
    </xf>
    <xf numFmtId="1" fontId="0" fillId="0" borderId="0" xfId="0" applyNumberFormat="1"/>
    <xf numFmtId="0" fontId="0" fillId="0" borderId="0" xfId="0" pivotButton="1"/>
    <xf numFmtId="0" fontId="0" fillId="0" borderId="0" xfId="0" applyAlignment="1">
      <alignment horizontal="left"/>
    </xf>
    <xf numFmtId="0" fontId="0" fillId="2" borderId="0" xfId="0" applyFill="1"/>
    <xf numFmtId="3" fontId="0" fillId="0" borderId="0" xfId="0" applyNumberFormat="1"/>
    <xf numFmtId="166" fontId="0" fillId="0" borderId="0" xfId="1" applyNumberFormat="1" applyFont="1"/>
    <xf numFmtId="0" fontId="0" fillId="3" borderId="0" xfId="0" applyFill="1"/>
    <xf numFmtId="0" fontId="0" fillId="0" borderId="0" xfId="0" applyNumberFormat="1"/>
  </cellXfs>
  <cellStyles count="2">
    <cellStyle name="Comma" xfId="1" builtinId="3"/>
    <cellStyle name="Normal" xfId="0" builtinId="0"/>
  </cellStyles>
  <dxfs count="2">
    <dxf>
      <numFmt numFmtId="3" formatCode="#,##0"/>
    </dxf>
    <dxf>
      <numFmt numFmtId="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 RDT (003).XLSX]Sheet3!PivotTable5</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layout/>
          <c:spPr>
            <a:noFill/>
            <a:ln>
              <a:noFill/>
            </a:ln>
            <a:effectLst/>
          </c:spPr>
          <c:txPr>
            <a:bodyPr rot="-5400000" spcFirstLastPara="1" vertOverflow="ellipsis" wrap="square" lIns="38100" tIns="19050" rIns="38100" bIns="19050" anchor="ctr" anchorCtr="1">
              <a:spAutoFit/>
            </a:bodyPr>
            <a:lstStyle/>
            <a:p>
              <a:pPr>
                <a:defRPr sz="1600" b="1" i="0" u="none" strike="noStrike" kern="1200" baseline="0">
                  <a:solidFill>
                    <a:srgbClr val="FFFF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1600" b="1" i="0" u="none" strike="noStrike" kern="1200" baseline="0">
                    <a:solidFill>
                      <a:srgbClr val="FFFF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Sheet3!$A$4:$A$11</c:f>
              <c:strCache>
                <c:ptCount val="7"/>
                <c:pt idx="0">
                  <c:v>2019</c:v>
                </c:pt>
                <c:pt idx="1">
                  <c:v>2020</c:v>
                </c:pt>
                <c:pt idx="2">
                  <c:v>2021</c:v>
                </c:pt>
                <c:pt idx="3">
                  <c:v>2022</c:v>
                </c:pt>
                <c:pt idx="4">
                  <c:v>2023</c:v>
                </c:pt>
                <c:pt idx="5">
                  <c:v>2024</c:v>
                </c:pt>
                <c:pt idx="6">
                  <c:v>(blank)</c:v>
                </c:pt>
              </c:strCache>
            </c:strRef>
          </c:cat>
          <c:val>
            <c:numRef>
              <c:f>Sheet3!$B$4:$B$11</c:f>
              <c:numCache>
                <c:formatCode>General</c:formatCode>
                <c:ptCount val="7"/>
                <c:pt idx="0">
                  <c:v>1806</c:v>
                </c:pt>
                <c:pt idx="1">
                  <c:v>1047</c:v>
                </c:pt>
                <c:pt idx="2">
                  <c:v>742</c:v>
                </c:pt>
                <c:pt idx="3">
                  <c:v>1931</c:v>
                </c:pt>
                <c:pt idx="4">
                  <c:v>2690</c:v>
                </c:pt>
                <c:pt idx="5">
                  <c:v>1676</c:v>
                </c:pt>
                <c:pt idx="6">
                  <c:v>0</c:v>
                </c:pt>
              </c:numCache>
            </c:numRef>
          </c:val>
          <c:extLst>
            <c:ext xmlns:c16="http://schemas.microsoft.com/office/drawing/2014/chart" uri="{C3380CC4-5D6E-409C-BE32-E72D297353CC}">
              <c16:uniqueId val="{00000000-F4FA-4805-8056-96EF8576170D}"/>
            </c:ext>
          </c:extLst>
        </c:ser>
        <c:dLbls>
          <c:showLegendKey val="0"/>
          <c:showVal val="0"/>
          <c:showCatName val="0"/>
          <c:showSerName val="0"/>
          <c:showPercent val="0"/>
          <c:showBubbleSize val="0"/>
        </c:dLbls>
        <c:gapWidth val="30"/>
        <c:overlap val="-27"/>
        <c:axId val="1397792816"/>
        <c:axId val="1397793296"/>
      </c:barChart>
      <c:catAx>
        <c:axId val="1397792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397793296"/>
        <c:crosses val="autoZero"/>
        <c:auto val="1"/>
        <c:lblAlgn val="ctr"/>
        <c:lblOffset val="100"/>
        <c:noMultiLvlLbl val="0"/>
      </c:catAx>
      <c:valAx>
        <c:axId val="13977932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7792816"/>
        <c:crosses val="autoZero"/>
        <c:crossBetween val="between"/>
      </c:valAx>
      <c:spPr>
        <a:solidFill>
          <a:schemeClr val="bg2"/>
        </a:solid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 RDT (003).XLSX]Sheet5!PivotTable7</c:name>
    <c:fmtId val="1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manualLayout>
          <c:layoutTarget val="inner"/>
          <c:xMode val="edge"/>
          <c:yMode val="edge"/>
          <c:x val="0.23629391110879353"/>
          <c:y val="8.8814004281154123E-3"/>
          <c:w val="0.4699125857693392"/>
          <c:h val="0.8661186499336635"/>
        </c:manualLayout>
      </c:layout>
      <c:doughnutChart>
        <c:varyColors val="1"/>
        <c:ser>
          <c:idx val="0"/>
          <c:order val="0"/>
          <c:tx>
            <c:strRef>
              <c:f>Sheet5!$B$4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479-4A57-A52E-4DD1021D5F0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479-4A57-A52E-4DD1021D5F0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479-4A57-A52E-4DD1021D5F0C}"/>
              </c:ext>
            </c:extLst>
          </c:dPt>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Sheet5!$A$5:$A$8</c:f>
              <c:strCache>
                <c:ptCount val="3"/>
                <c:pt idx="0">
                  <c:v>Red Dot Tours - RedDotTours  (RDT)</c:v>
                </c:pt>
                <c:pt idx="1">
                  <c:v>SriLankaInStyle - SriLankaInStyle  (SLIS)</c:v>
                </c:pt>
                <c:pt idx="2">
                  <c:v>(blank)</c:v>
                </c:pt>
              </c:strCache>
            </c:strRef>
          </c:cat>
          <c:val>
            <c:numRef>
              <c:f>Sheet5!$B$5:$B$8</c:f>
              <c:numCache>
                <c:formatCode>General</c:formatCode>
                <c:ptCount val="3"/>
                <c:pt idx="0">
                  <c:v>7637</c:v>
                </c:pt>
                <c:pt idx="1">
                  <c:v>2255</c:v>
                </c:pt>
              </c:numCache>
            </c:numRef>
          </c:val>
          <c:extLst>
            <c:ext xmlns:c16="http://schemas.microsoft.com/office/drawing/2014/chart" uri="{C3380CC4-5D6E-409C-BE32-E72D297353CC}">
              <c16:uniqueId val="{00000006-9479-4A57-A52E-4DD1021D5F0C}"/>
            </c:ext>
          </c:extLst>
        </c:ser>
        <c:dLbls>
          <c:showLegendKey val="0"/>
          <c:showVal val="0"/>
          <c:showCatName val="0"/>
          <c:showSerName val="0"/>
          <c:showPercent val="0"/>
          <c:showBubbleSize val="0"/>
          <c:showLeaderLines val="1"/>
        </c:dLbls>
        <c:firstSliceAng val="0"/>
        <c:holeSize val="53"/>
      </c:doughnutChart>
      <c:spPr>
        <a:noFill/>
        <a:ln>
          <a:noFill/>
        </a:ln>
        <a:effectLst/>
      </c:spPr>
    </c:plotArea>
    <c:legend>
      <c:legendPos val="r"/>
      <c:layout>
        <c:manualLayout>
          <c:xMode val="edge"/>
          <c:yMode val="edge"/>
          <c:x val="5.4298117536632433E-2"/>
          <c:y val="0.89062335958005245"/>
          <c:w val="0.88499548069736311"/>
          <c:h val="9.838291046952461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 RDT (003).XLSX]Sheet2!PivotTable4</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layout/>
          <c:spPr>
            <a:noFill/>
            <a:ln>
              <a:noFill/>
            </a:ln>
            <a:effectLst/>
          </c:spPr>
          <c:txPr>
            <a:bodyPr rot="-5400000" spcFirstLastPara="1" vertOverflow="ellipsis" wrap="square" lIns="38100" tIns="19050" rIns="38100" bIns="19050" anchor="ctr" anchorCtr="1">
              <a:spAutoFit/>
            </a:bodyPr>
            <a:lstStyle/>
            <a:p>
              <a:pPr>
                <a:defRPr sz="1050" b="1" i="0" u="none" strike="noStrike" kern="1200" baseline="0">
                  <a:solidFill>
                    <a:srgbClr val="FF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9.2292570729953574E-2"/>
          <c:y val="5.1216924388861475E-2"/>
          <c:w val="0.87698897587930746"/>
          <c:h val="0.69802362064427004"/>
        </c:manualLayout>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1050" b="1" i="0" u="none" strike="noStrike" kern="1200" baseline="0">
                    <a:solidFill>
                      <a:srgbClr val="FF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Sheet2!$A$4:$A$17</c:f>
              <c:strCache>
                <c:ptCount val="13"/>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(blank)</c:v>
                </c:pt>
              </c:strCache>
            </c:strRef>
          </c:cat>
          <c:val>
            <c:numRef>
              <c:f>Sheet2!$B$4:$B$17</c:f>
              <c:numCache>
                <c:formatCode>General</c:formatCode>
                <c:ptCount val="13"/>
                <c:pt idx="0">
                  <c:v>1468</c:v>
                </c:pt>
                <c:pt idx="1">
                  <c:v>1672</c:v>
                </c:pt>
                <c:pt idx="2">
                  <c:v>1072</c:v>
                </c:pt>
                <c:pt idx="3">
                  <c:v>810</c:v>
                </c:pt>
                <c:pt idx="4">
                  <c:v>137</c:v>
                </c:pt>
                <c:pt idx="5">
                  <c:v>236</c:v>
                </c:pt>
                <c:pt idx="6">
                  <c:v>1284</c:v>
                </c:pt>
                <c:pt idx="7">
                  <c:v>499</c:v>
                </c:pt>
                <c:pt idx="8">
                  <c:v>391</c:v>
                </c:pt>
                <c:pt idx="9">
                  <c:v>334</c:v>
                </c:pt>
                <c:pt idx="10">
                  <c:v>455</c:v>
                </c:pt>
                <c:pt idx="11">
                  <c:v>1534</c:v>
                </c:pt>
              </c:numCache>
            </c:numRef>
          </c:val>
          <c:extLst>
            <c:ext xmlns:c16="http://schemas.microsoft.com/office/drawing/2014/chart" uri="{C3380CC4-5D6E-409C-BE32-E72D297353CC}">
              <c16:uniqueId val="{00000000-2E67-46A1-81A6-299BF068EF48}"/>
            </c:ext>
          </c:extLst>
        </c:ser>
        <c:dLbls>
          <c:showLegendKey val="0"/>
          <c:showVal val="0"/>
          <c:showCatName val="0"/>
          <c:showSerName val="0"/>
          <c:showPercent val="0"/>
          <c:showBubbleSize val="0"/>
        </c:dLbls>
        <c:gapWidth val="41"/>
        <c:overlap val="-27"/>
        <c:axId val="1397767856"/>
        <c:axId val="1397776976"/>
      </c:barChart>
      <c:catAx>
        <c:axId val="1397767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7776976"/>
        <c:crosses val="autoZero"/>
        <c:auto val="1"/>
        <c:lblAlgn val="ctr"/>
        <c:lblOffset val="100"/>
        <c:noMultiLvlLbl val="0"/>
      </c:catAx>
      <c:valAx>
        <c:axId val="1397776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7767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 RDT (003).XLSX]Sheet4!PivotTable6</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Sheet4!$B$3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Sheet4!$A$4:$A$14</c:f>
              <c:strCache>
                <c:ptCount val="10"/>
                <c:pt idx="0">
                  <c:v>American</c:v>
                </c:pt>
                <c:pt idx="1">
                  <c:v>Australian</c:v>
                </c:pt>
                <c:pt idx="2">
                  <c:v>British</c:v>
                </c:pt>
                <c:pt idx="3">
                  <c:v>Canadian</c:v>
                </c:pt>
                <c:pt idx="4">
                  <c:v>French</c:v>
                </c:pt>
                <c:pt idx="5">
                  <c:v>German</c:v>
                </c:pt>
                <c:pt idx="6">
                  <c:v>Indian</c:v>
                </c:pt>
                <c:pt idx="7">
                  <c:v>Singaporean</c:v>
                </c:pt>
                <c:pt idx="8">
                  <c:v>Spanish</c:v>
                </c:pt>
                <c:pt idx="9">
                  <c:v>Sri Lankan</c:v>
                </c:pt>
              </c:strCache>
            </c:strRef>
          </c:cat>
          <c:val>
            <c:numRef>
              <c:f>Sheet4!$B$4:$B$14</c:f>
              <c:numCache>
                <c:formatCode>General</c:formatCode>
                <c:ptCount val="10"/>
                <c:pt idx="0">
                  <c:v>675</c:v>
                </c:pt>
                <c:pt idx="1">
                  <c:v>681</c:v>
                </c:pt>
                <c:pt idx="2">
                  <c:v>6207</c:v>
                </c:pt>
                <c:pt idx="3">
                  <c:v>184</c:v>
                </c:pt>
                <c:pt idx="4">
                  <c:v>156</c:v>
                </c:pt>
                <c:pt idx="5">
                  <c:v>145</c:v>
                </c:pt>
                <c:pt idx="6">
                  <c:v>138</c:v>
                </c:pt>
                <c:pt idx="7">
                  <c:v>116</c:v>
                </c:pt>
                <c:pt idx="8">
                  <c:v>711</c:v>
                </c:pt>
                <c:pt idx="9">
                  <c:v>104</c:v>
                </c:pt>
              </c:numCache>
            </c:numRef>
          </c:val>
          <c:extLst>
            <c:ext xmlns:c16="http://schemas.microsoft.com/office/drawing/2014/chart" uri="{C3380CC4-5D6E-409C-BE32-E72D297353CC}">
              <c16:uniqueId val="{00000000-AEB9-4C3A-93B6-0AE4B321CBF3}"/>
            </c:ext>
          </c:extLst>
        </c:ser>
        <c:dLbls>
          <c:showLegendKey val="0"/>
          <c:showVal val="0"/>
          <c:showCatName val="0"/>
          <c:showSerName val="0"/>
          <c:showPercent val="0"/>
          <c:showBubbleSize val="0"/>
        </c:dLbls>
        <c:gapWidth val="56"/>
        <c:axId val="1388693056"/>
        <c:axId val="1388679136"/>
      </c:barChart>
      <c:catAx>
        <c:axId val="13886930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388679136"/>
        <c:crosses val="autoZero"/>
        <c:auto val="1"/>
        <c:lblAlgn val="ctr"/>
        <c:lblOffset val="100"/>
        <c:noMultiLvlLbl val="0"/>
      </c:catAx>
      <c:valAx>
        <c:axId val="13886791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8693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 RDT (003).XLSX]Sheet8!PivotTable8</c:name>
    <c:fmtId val="29"/>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7030A0"/>
          </a:solidFill>
          <a:ln>
            <a:noFill/>
          </a:ln>
          <a:effectLst/>
        </c:spPr>
        <c:marker>
          <c:symbol val="none"/>
        </c:marker>
      </c:pivotFmt>
      <c:pivotFmt>
        <c:idx val="3"/>
        <c:spPr>
          <a:ln w="28575" cap="rnd">
            <a:solidFill>
              <a:schemeClr val="accent1"/>
            </a:solidFill>
            <a:round/>
          </a:ln>
          <a:effectLst/>
        </c:spPr>
        <c:marker>
          <c:symbol val="none"/>
        </c:marker>
        <c:dLbl>
          <c:idx val="0"/>
          <c:layout/>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6402537182852142"/>
          <c:y val="2.7777777777777776E-2"/>
          <c:w val="0.70429571303587046"/>
          <c:h val="0.65056466899970844"/>
        </c:manualLayout>
      </c:layout>
      <c:barChart>
        <c:barDir val="col"/>
        <c:grouping val="clustered"/>
        <c:varyColors val="0"/>
        <c:ser>
          <c:idx val="1"/>
          <c:order val="1"/>
          <c:tx>
            <c:strRef>
              <c:f>Sheet8!$C$3</c:f>
              <c:strCache>
                <c:ptCount val="1"/>
                <c:pt idx="0">
                  <c:v>Sum of value</c:v>
                </c:pt>
              </c:strCache>
            </c:strRef>
          </c:tx>
          <c:spPr>
            <a:solidFill>
              <a:srgbClr val="7030A0"/>
            </a:solidFill>
            <a:ln>
              <a:noFill/>
            </a:ln>
            <a:effectLst/>
          </c:spPr>
          <c:invertIfNegative val="0"/>
          <c:cat>
            <c:strRef>
              <c:f>Sheet8!$A$4:$A$14</c:f>
              <c:strCache>
                <c:ptCount val="10"/>
                <c:pt idx="0">
                  <c:v>ANDREAG</c:v>
                </c:pt>
                <c:pt idx="1">
                  <c:v>dinus</c:v>
                </c:pt>
                <c:pt idx="2">
                  <c:v>DonovanA</c:v>
                </c:pt>
                <c:pt idx="3">
                  <c:v>DULMINIE</c:v>
                </c:pt>
                <c:pt idx="4">
                  <c:v>DYLANR</c:v>
                </c:pt>
                <c:pt idx="5">
                  <c:v>KosalaG</c:v>
                </c:pt>
                <c:pt idx="6">
                  <c:v>lahiruK</c:v>
                </c:pt>
                <c:pt idx="7">
                  <c:v>Nicolaw</c:v>
                </c:pt>
                <c:pt idx="8">
                  <c:v>RamithK</c:v>
                </c:pt>
                <c:pt idx="9">
                  <c:v>SamanthiK</c:v>
                </c:pt>
              </c:strCache>
            </c:strRef>
          </c:cat>
          <c:val>
            <c:numRef>
              <c:f>Sheet8!$C$4:$C$14</c:f>
              <c:numCache>
                <c:formatCode>#,##0</c:formatCode>
                <c:ptCount val="10"/>
                <c:pt idx="0">
                  <c:v>131181.07</c:v>
                </c:pt>
                <c:pt idx="1">
                  <c:v>533579.92999999993</c:v>
                </c:pt>
                <c:pt idx="2">
                  <c:v>255802.86000000002</c:v>
                </c:pt>
                <c:pt idx="3">
                  <c:v>1880517.8100000005</c:v>
                </c:pt>
                <c:pt idx="4">
                  <c:v>51337.599999999991</c:v>
                </c:pt>
                <c:pt idx="5">
                  <c:v>154087.14000000001</c:v>
                </c:pt>
                <c:pt idx="6">
                  <c:v>1797673.8699999999</c:v>
                </c:pt>
                <c:pt idx="7">
                  <c:v>344238.43</c:v>
                </c:pt>
                <c:pt idx="8">
                  <c:v>8716</c:v>
                </c:pt>
                <c:pt idx="9">
                  <c:v>238159.39999999997</c:v>
                </c:pt>
              </c:numCache>
            </c:numRef>
          </c:val>
          <c:extLst>
            <c:ext xmlns:c16="http://schemas.microsoft.com/office/drawing/2014/chart" uri="{C3380CC4-5D6E-409C-BE32-E72D297353CC}">
              <c16:uniqueId val="{00000000-E933-4616-9811-C70E92DEAB08}"/>
            </c:ext>
          </c:extLst>
        </c:ser>
        <c:dLbls>
          <c:showLegendKey val="0"/>
          <c:showVal val="0"/>
          <c:showCatName val="0"/>
          <c:showSerName val="0"/>
          <c:showPercent val="0"/>
          <c:showBubbleSize val="0"/>
        </c:dLbls>
        <c:gapWidth val="34"/>
        <c:axId val="1397884496"/>
        <c:axId val="1397883536"/>
      </c:barChart>
      <c:lineChart>
        <c:grouping val="standard"/>
        <c:varyColors val="0"/>
        <c:ser>
          <c:idx val="0"/>
          <c:order val="0"/>
          <c:tx>
            <c:strRef>
              <c:f>Sheet8!$B$3</c:f>
              <c:strCache>
                <c:ptCount val="1"/>
                <c:pt idx="0">
                  <c:v>Sum of Night</c:v>
                </c:pt>
              </c:strCache>
            </c:strRef>
          </c:tx>
          <c:spPr>
            <a:ln w="28575" cap="rnd">
              <a:solidFill>
                <a:schemeClr val="accent1"/>
              </a:solidFill>
              <a:round/>
            </a:ln>
            <a:effectLst/>
          </c:spPr>
          <c:marker>
            <c:symbol val="none"/>
          </c:marker>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Sheet8!$A$4:$A$14</c:f>
              <c:strCache>
                <c:ptCount val="10"/>
                <c:pt idx="0">
                  <c:v>ANDREAG</c:v>
                </c:pt>
                <c:pt idx="1">
                  <c:v>dinus</c:v>
                </c:pt>
                <c:pt idx="2">
                  <c:v>DonovanA</c:v>
                </c:pt>
                <c:pt idx="3">
                  <c:v>DULMINIE</c:v>
                </c:pt>
                <c:pt idx="4">
                  <c:v>DYLANR</c:v>
                </c:pt>
                <c:pt idx="5">
                  <c:v>KosalaG</c:v>
                </c:pt>
                <c:pt idx="6">
                  <c:v>lahiruK</c:v>
                </c:pt>
                <c:pt idx="7">
                  <c:v>Nicolaw</c:v>
                </c:pt>
                <c:pt idx="8">
                  <c:v>RamithK</c:v>
                </c:pt>
                <c:pt idx="9">
                  <c:v>SamanthiK</c:v>
                </c:pt>
              </c:strCache>
            </c:strRef>
          </c:cat>
          <c:val>
            <c:numRef>
              <c:f>Sheet8!$B$4:$B$14</c:f>
              <c:numCache>
                <c:formatCode>General</c:formatCode>
                <c:ptCount val="10"/>
                <c:pt idx="0">
                  <c:v>175</c:v>
                </c:pt>
                <c:pt idx="1">
                  <c:v>344</c:v>
                </c:pt>
                <c:pt idx="2">
                  <c:v>213</c:v>
                </c:pt>
                <c:pt idx="3">
                  <c:v>2410</c:v>
                </c:pt>
                <c:pt idx="4">
                  <c:v>191</c:v>
                </c:pt>
                <c:pt idx="5">
                  <c:v>395</c:v>
                </c:pt>
                <c:pt idx="6">
                  <c:v>3644</c:v>
                </c:pt>
                <c:pt idx="7">
                  <c:v>606</c:v>
                </c:pt>
                <c:pt idx="8">
                  <c:v>218</c:v>
                </c:pt>
                <c:pt idx="9">
                  <c:v>584</c:v>
                </c:pt>
              </c:numCache>
            </c:numRef>
          </c:val>
          <c:smooth val="0"/>
          <c:extLst>
            <c:ext xmlns:c16="http://schemas.microsoft.com/office/drawing/2014/chart" uri="{C3380CC4-5D6E-409C-BE32-E72D297353CC}">
              <c16:uniqueId val="{00000001-E933-4616-9811-C70E92DEAB08}"/>
            </c:ext>
          </c:extLst>
        </c:ser>
        <c:dLbls>
          <c:showLegendKey val="0"/>
          <c:showVal val="0"/>
          <c:showCatName val="0"/>
          <c:showSerName val="0"/>
          <c:showPercent val="0"/>
          <c:showBubbleSize val="0"/>
        </c:dLbls>
        <c:marker val="1"/>
        <c:smooth val="0"/>
        <c:axId val="1397895536"/>
        <c:axId val="1397882096"/>
      </c:lineChart>
      <c:catAx>
        <c:axId val="1397895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7882096"/>
        <c:crosses val="autoZero"/>
        <c:auto val="1"/>
        <c:lblAlgn val="ctr"/>
        <c:lblOffset val="100"/>
        <c:noMultiLvlLbl val="0"/>
      </c:catAx>
      <c:valAx>
        <c:axId val="1397882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7895536"/>
        <c:crosses val="autoZero"/>
        <c:crossBetween val="between"/>
      </c:valAx>
      <c:valAx>
        <c:axId val="1397883536"/>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7884496"/>
        <c:crosses val="max"/>
        <c:crossBetween val="between"/>
      </c:valAx>
      <c:catAx>
        <c:axId val="1397884496"/>
        <c:scaling>
          <c:orientation val="minMax"/>
        </c:scaling>
        <c:delete val="1"/>
        <c:axPos val="b"/>
        <c:numFmt formatCode="General" sourceLinked="1"/>
        <c:majorTickMark val="out"/>
        <c:minorTickMark val="none"/>
        <c:tickLblPos val="nextTo"/>
        <c:crossAx val="1397883536"/>
        <c:crosses val="autoZero"/>
        <c:auto val="1"/>
        <c:lblAlgn val="ctr"/>
        <c:lblOffset val="100"/>
        <c:noMultiLvlLbl val="0"/>
      </c:catAx>
      <c:spPr>
        <a:noFill/>
        <a:ln>
          <a:noFill/>
        </a:ln>
        <a:effectLst/>
      </c:spPr>
    </c:plotArea>
    <c:legend>
      <c:legendPos val="r"/>
      <c:layout>
        <c:manualLayout>
          <c:xMode val="edge"/>
          <c:yMode val="edge"/>
          <c:x val="2.2235345581802336E-2"/>
          <c:y val="0.89872630504520268"/>
          <c:w val="0.81387576552930874"/>
          <c:h val="0.1006955380577427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 RDT (003).XLSX]Sheet9!PivotTable9</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Sheet9!$B$3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Sheet9!$A$4:$A$13</c:f>
              <c:strCache>
                <c:ptCount val="9"/>
                <c:pt idx="0">
                  <c:v>agent</c:v>
                </c:pt>
                <c:pt idx="1">
                  <c:v>fam</c:v>
                </c:pt>
                <c:pt idx="2">
                  <c:v>local sales fam</c:v>
                </c:pt>
                <c:pt idx="3">
                  <c:v>referral</c:v>
                </c:pt>
                <c:pt idx="4">
                  <c:v>referral program - yaluwo</c:v>
                </c:pt>
                <c:pt idx="5">
                  <c:v>repeat client</c:v>
                </c:pt>
                <c:pt idx="6">
                  <c:v>website</c:v>
                </c:pt>
                <c:pt idx="7">
                  <c:v>wendy perrin</c:v>
                </c:pt>
                <c:pt idx="8">
                  <c:v>(blank)</c:v>
                </c:pt>
              </c:strCache>
            </c:strRef>
          </c:cat>
          <c:val>
            <c:numRef>
              <c:f>Sheet9!$B$4:$B$13</c:f>
              <c:numCache>
                <c:formatCode>General</c:formatCode>
                <c:ptCount val="9"/>
                <c:pt idx="0">
                  <c:v>340</c:v>
                </c:pt>
                <c:pt idx="1">
                  <c:v>4</c:v>
                </c:pt>
                <c:pt idx="2">
                  <c:v>152</c:v>
                </c:pt>
                <c:pt idx="3">
                  <c:v>1175</c:v>
                </c:pt>
                <c:pt idx="4">
                  <c:v>191</c:v>
                </c:pt>
                <c:pt idx="5">
                  <c:v>405</c:v>
                </c:pt>
                <c:pt idx="6">
                  <c:v>4635</c:v>
                </c:pt>
                <c:pt idx="7">
                  <c:v>114</c:v>
                </c:pt>
                <c:pt idx="8">
                  <c:v>2876</c:v>
                </c:pt>
              </c:numCache>
            </c:numRef>
          </c:val>
          <c:extLst>
            <c:ext xmlns:c16="http://schemas.microsoft.com/office/drawing/2014/chart" uri="{C3380CC4-5D6E-409C-BE32-E72D297353CC}">
              <c16:uniqueId val="{00000000-42AD-4E28-BF64-6A8BA81E37E5}"/>
            </c:ext>
          </c:extLst>
        </c:ser>
        <c:dLbls>
          <c:showLegendKey val="0"/>
          <c:showVal val="0"/>
          <c:showCatName val="0"/>
          <c:showSerName val="0"/>
          <c:showPercent val="0"/>
          <c:showBubbleSize val="0"/>
        </c:dLbls>
        <c:gapWidth val="42"/>
        <c:axId val="1397898416"/>
        <c:axId val="1397900336"/>
      </c:barChart>
      <c:catAx>
        <c:axId val="13978984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7900336"/>
        <c:crosses val="autoZero"/>
        <c:auto val="1"/>
        <c:lblAlgn val="ctr"/>
        <c:lblOffset val="100"/>
        <c:noMultiLvlLbl val="0"/>
      </c:catAx>
      <c:valAx>
        <c:axId val="13979003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7898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4.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12</xdr:col>
      <xdr:colOff>91440</xdr:colOff>
      <xdr:row>4</xdr:row>
      <xdr:rowOff>22860</xdr:rowOff>
    </xdr:from>
    <xdr:to>
      <xdr:col>15</xdr:col>
      <xdr:colOff>91440</xdr:colOff>
      <xdr:row>18</xdr:row>
      <xdr:rowOff>43815</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FC086EB4-E299-4226-5157-D06C23B11D4A}"/>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7825740" y="75438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396240</xdr:colOff>
      <xdr:row>7</xdr:row>
      <xdr:rowOff>0</xdr:rowOff>
    </xdr:from>
    <xdr:to>
      <xdr:col>12</xdr:col>
      <xdr:colOff>396240</xdr:colOff>
      <xdr:row>21</xdr:row>
      <xdr:rowOff>20955</xdr:rowOff>
    </xdr:to>
    <mc:AlternateContent xmlns:mc="http://schemas.openxmlformats.org/markup-compatibility/2006" xmlns:a14="http://schemas.microsoft.com/office/drawing/2010/main">
      <mc:Choice Requires="a14">
        <xdr:graphicFrame macro="">
          <xdr:nvGraphicFramePr>
            <xdr:cNvPr id="2" name="Month">
              <a:extLst>
                <a:ext uri="{FF2B5EF4-FFF2-40B4-BE49-F238E27FC236}">
                  <a16:creationId xmlns:a16="http://schemas.microsoft.com/office/drawing/2014/main" id="{B4479BDA-DB92-A180-AADF-BC88432FE0E5}"/>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6301740" y="128016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274320</xdr:colOff>
      <xdr:row>7</xdr:row>
      <xdr:rowOff>1</xdr:rowOff>
    </xdr:from>
    <xdr:to>
      <xdr:col>11</xdr:col>
      <xdr:colOff>137160</xdr:colOff>
      <xdr:row>13</xdr:row>
      <xdr:rowOff>7621</xdr:rowOff>
    </xdr:to>
    <mc:AlternateContent xmlns:mc="http://schemas.openxmlformats.org/markup-compatibility/2006" xmlns:a14="http://schemas.microsoft.com/office/drawing/2010/main">
      <mc:Choice Requires="a14">
        <xdr:graphicFrame macro="">
          <xdr:nvGraphicFramePr>
            <xdr:cNvPr id="2" name="Agent">
              <a:extLst>
                <a:ext uri="{FF2B5EF4-FFF2-40B4-BE49-F238E27FC236}">
                  <a16:creationId xmlns:a16="http://schemas.microsoft.com/office/drawing/2014/main" id="{BEE8F616-5686-F87D-C28E-D74699277140}"/>
                </a:ext>
              </a:extLst>
            </xdr:cNvPr>
            <xdr:cNvGraphicFramePr/>
          </xdr:nvGraphicFramePr>
          <xdr:xfrm>
            <a:off x="0" y="0"/>
            <a:ext cx="0" cy="0"/>
          </xdr:xfrm>
          <a:graphic>
            <a:graphicData uri="http://schemas.microsoft.com/office/drawing/2010/slicer">
              <sle:slicer xmlns:sle="http://schemas.microsoft.com/office/drawing/2010/slicer" name="Agent"/>
            </a:graphicData>
          </a:graphic>
        </xdr:graphicFrame>
      </mc:Choice>
      <mc:Fallback xmlns="">
        <xdr:sp macro="" textlink="">
          <xdr:nvSpPr>
            <xdr:cNvPr id="0" name=""/>
            <xdr:cNvSpPr>
              <a:spLocks noTextEdit="1"/>
            </xdr:cNvSpPr>
          </xdr:nvSpPr>
          <xdr:spPr>
            <a:xfrm>
              <a:off x="5463540" y="1280161"/>
              <a:ext cx="1828800" cy="1104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396240</xdr:colOff>
      <xdr:row>7</xdr:row>
      <xdr:rowOff>0</xdr:rowOff>
    </xdr:from>
    <xdr:to>
      <xdr:col>12</xdr:col>
      <xdr:colOff>396240</xdr:colOff>
      <xdr:row>21</xdr:row>
      <xdr:rowOff>20955</xdr:rowOff>
    </xdr:to>
    <mc:AlternateContent xmlns:mc="http://schemas.openxmlformats.org/markup-compatibility/2006" xmlns:a14="http://schemas.microsoft.com/office/drawing/2010/main">
      <mc:Choice Requires="a14">
        <xdr:graphicFrame macro="">
          <xdr:nvGraphicFramePr>
            <xdr:cNvPr id="2" name="Year 2">
              <a:extLst>
                <a:ext uri="{FF2B5EF4-FFF2-40B4-BE49-F238E27FC236}">
                  <a16:creationId xmlns:a16="http://schemas.microsoft.com/office/drawing/2014/main" id="{93540B2D-1B5A-B183-805D-8B2B2D0C021A}"/>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6301740" y="128016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99060</xdr:colOff>
      <xdr:row>4</xdr:row>
      <xdr:rowOff>57150</xdr:rowOff>
    </xdr:from>
    <xdr:to>
      <xdr:col>7</xdr:col>
      <xdr:colOff>403860</xdr:colOff>
      <xdr:row>17</xdr:row>
      <xdr:rowOff>155864</xdr:rowOff>
    </xdr:to>
    <xdr:graphicFrame macro="">
      <xdr:nvGraphicFramePr>
        <xdr:cNvPr id="2" name="Chart 1">
          <a:extLst>
            <a:ext uri="{FF2B5EF4-FFF2-40B4-BE49-F238E27FC236}">
              <a16:creationId xmlns:a16="http://schemas.microsoft.com/office/drawing/2014/main" id="{C73A8152-EC89-0EA5-2DDA-E9CD6D6E10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449580</xdr:colOff>
      <xdr:row>4</xdr:row>
      <xdr:rowOff>41910</xdr:rowOff>
    </xdr:from>
    <xdr:to>
      <xdr:col>15</xdr:col>
      <xdr:colOff>175260</xdr:colOff>
      <xdr:row>17</xdr:row>
      <xdr:rowOff>160020</xdr:rowOff>
    </xdr:to>
    <xdr:graphicFrame macro="">
      <xdr:nvGraphicFramePr>
        <xdr:cNvPr id="3" name="Chart 2">
          <a:extLst>
            <a:ext uri="{FF2B5EF4-FFF2-40B4-BE49-F238E27FC236}">
              <a16:creationId xmlns:a16="http://schemas.microsoft.com/office/drawing/2014/main" id="{2B99A4E4-832D-1B8E-330D-653C6E76AB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103990</xdr:colOff>
      <xdr:row>18</xdr:row>
      <xdr:rowOff>0</xdr:rowOff>
    </xdr:from>
    <xdr:to>
      <xdr:col>7</xdr:col>
      <xdr:colOff>408790</xdr:colOff>
      <xdr:row>32</xdr:row>
      <xdr:rowOff>32049</xdr:rowOff>
    </xdr:to>
    <xdr:graphicFrame macro="">
      <xdr:nvGraphicFramePr>
        <xdr:cNvPr id="5" name="Chart 1">
          <a:extLst>
            <a:ext uri="{FF2B5EF4-FFF2-40B4-BE49-F238E27FC236}">
              <a16:creationId xmlns:a16="http://schemas.microsoft.com/office/drawing/2014/main" id="{5AB73DAE-70C4-20F2-3DFA-522A61FE81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449579</xdr:colOff>
      <xdr:row>18</xdr:row>
      <xdr:rowOff>8784</xdr:rowOff>
    </xdr:from>
    <xdr:to>
      <xdr:col>15</xdr:col>
      <xdr:colOff>179294</xdr:colOff>
      <xdr:row>32</xdr:row>
      <xdr:rowOff>39669</xdr:rowOff>
    </xdr:to>
    <xdr:graphicFrame macro="">
      <xdr:nvGraphicFramePr>
        <xdr:cNvPr id="6" name="Chart 1">
          <a:extLst>
            <a:ext uri="{FF2B5EF4-FFF2-40B4-BE49-F238E27FC236}">
              <a16:creationId xmlns:a16="http://schemas.microsoft.com/office/drawing/2014/main" id="{B594B75B-F064-E851-A179-9080BCB81E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23</xdr:col>
      <xdr:colOff>259090</xdr:colOff>
      <xdr:row>26</xdr:row>
      <xdr:rowOff>26452</xdr:rowOff>
    </xdr:from>
    <xdr:to>
      <xdr:col>26</xdr:col>
      <xdr:colOff>716289</xdr:colOff>
      <xdr:row>31</xdr:row>
      <xdr:rowOff>234881</xdr:rowOff>
    </xdr:to>
    <mc:AlternateContent xmlns:mc="http://schemas.openxmlformats.org/markup-compatibility/2006" xmlns:a14="http://schemas.microsoft.com/office/drawing/2010/main">
      <mc:Choice Requires="a14">
        <xdr:graphicFrame macro="">
          <xdr:nvGraphicFramePr>
            <xdr:cNvPr id="7" name="Agent 1">
              <a:extLst>
                <a:ext uri="{FF2B5EF4-FFF2-40B4-BE49-F238E27FC236}">
                  <a16:creationId xmlns:a16="http://schemas.microsoft.com/office/drawing/2014/main" id="{D3A7D9EE-12CE-4B8C-972F-210B4E596004}"/>
                </a:ext>
              </a:extLst>
            </xdr:cNvPr>
            <xdr:cNvGraphicFramePr/>
          </xdr:nvGraphicFramePr>
          <xdr:xfrm>
            <a:off x="0" y="0"/>
            <a:ext cx="0" cy="0"/>
          </xdr:xfrm>
          <a:graphic>
            <a:graphicData uri="http://schemas.microsoft.com/office/drawing/2010/slicer">
              <sle:slicer xmlns:sle="http://schemas.microsoft.com/office/drawing/2010/slicer" name="Agent 1"/>
            </a:graphicData>
          </a:graphic>
        </xdr:graphicFrame>
      </mc:Choice>
      <mc:Fallback xmlns="">
        <xdr:sp macro="" textlink="">
          <xdr:nvSpPr>
            <xdr:cNvPr id="0" name=""/>
            <xdr:cNvSpPr>
              <a:spLocks noTextEdit="1"/>
            </xdr:cNvSpPr>
          </xdr:nvSpPr>
          <xdr:spPr>
            <a:xfrm>
              <a:off x="14323164" y="4758378"/>
              <a:ext cx="2291644" cy="11021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263115</xdr:colOff>
      <xdr:row>4</xdr:row>
      <xdr:rowOff>27568</xdr:rowOff>
    </xdr:from>
    <xdr:to>
      <xdr:col>22</xdr:col>
      <xdr:colOff>567915</xdr:colOff>
      <xdr:row>18</xdr:row>
      <xdr:rowOff>1</xdr:rowOff>
    </xdr:to>
    <xdr:graphicFrame macro="">
      <xdr:nvGraphicFramePr>
        <xdr:cNvPr id="8" name="Chart 3">
          <a:extLst>
            <a:ext uri="{FF2B5EF4-FFF2-40B4-BE49-F238E27FC236}">
              <a16:creationId xmlns:a16="http://schemas.microsoft.com/office/drawing/2014/main" id="{9DF59DB8-B645-1DD2-0221-2D6C171ACF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263115</xdr:colOff>
      <xdr:row>18</xdr:row>
      <xdr:rowOff>17929</xdr:rowOff>
    </xdr:from>
    <xdr:to>
      <xdr:col>22</xdr:col>
      <xdr:colOff>567915</xdr:colOff>
      <xdr:row>32</xdr:row>
      <xdr:rowOff>30663</xdr:rowOff>
    </xdr:to>
    <xdr:graphicFrame macro="">
      <xdr:nvGraphicFramePr>
        <xdr:cNvPr id="9" name="Chart 1">
          <a:extLst>
            <a:ext uri="{FF2B5EF4-FFF2-40B4-BE49-F238E27FC236}">
              <a16:creationId xmlns:a16="http://schemas.microsoft.com/office/drawing/2014/main" id="{90C71C01-AC04-3532-7F67-D6654F5C41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17</xdr:col>
      <xdr:colOff>591671</xdr:colOff>
      <xdr:row>0</xdr:row>
      <xdr:rowOff>89645</xdr:rowOff>
    </xdr:from>
    <xdr:ext cx="1096852" cy="609602"/>
    <xdr:sp macro="" textlink="Sheet8!F1">
      <xdr:nvSpPr>
        <xdr:cNvPr id="10" name="TextBox 9">
          <a:extLst>
            <a:ext uri="{FF2B5EF4-FFF2-40B4-BE49-F238E27FC236}">
              <a16:creationId xmlns:a16="http://schemas.microsoft.com/office/drawing/2014/main" id="{1F74305F-329F-EFFD-1B0B-0D1C4422510B}"/>
            </a:ext>
          </a:extLst>
        </xdr:cNvPr>
        <xdr:cNvSpPr txBox="1"/>
      </xdr:nvSpPr>
      <xdr:spPr>
        <a:xfrm>
          <a:off x="10895989" y="89645"/>
          <a:ext cx="1096852" cy="6096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CD3FFB9E-9BAA-43DD-A898-933FF6A48C6E}" type="TxLink">
            <a:rPr lang="en-US" sz="2400" b="0" i="0" u="none" strike="noStrike">
              <a:solidFill>
                <a:schemeClr val="bg1"/>
              </a:solidFill>
              <a:latin typeface="Aptos Narrow"/>
            </a:rPr>
            <a:pPr/>
            <a:t>8780</a:t>
          </a:fld>
          <a:endParaRPr lang="en-US" sz="2400">
            <a:solidFill>
              <a:schemeClr val="bg1"/>
            </a:solidFill>
          </a:endParaRPr>
        </a:p>
      </xdr:txBody>
    </xdr:sp>
    <xdr:clientData/>
  </xdr:oneCellAnchor>
  <xdr:oneCellAnchor>
    <xdr:from>
      <xdr:col>22</xdr:col>
      <xdr:colOff>591672</xdr:colOff>
      <xdr:row>0</xdr:row>
      <xdr:rowOff>100138</xdr:rowOff>
    </xdr:from>
    <xdr:ext cx="1689134" cy="468013"/>
    <xdr:sp macro="" textlink="Sheet8!G1">
      <xdr:nvSpPr>
        <xdr:cNvPr id="11" name="TextBox 10">
          <a:extLst>
            <a:ext uri="{FF2B5EF4-FFF2-40B4-BE49-F238E27FC236}">
              <a16:creationId xmlns:a16="http://schemas.microsoft.com/office/drawing/2014/main" id="{F0D1A910-4E47-4EE3-B3CB-ADD036A804CB}"/>
            </a:ext>
          </a:extLst>
        </xdr:cNvPr>
        <xdr:cNvSpPr txBox="1"/>
      </xdr:nvSpPr>
      <xdr:spPr>
        <a:xfrm>
          <a:off x="14002872" y="100138"/>
          <a:ext cx="1689134"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9F493AEE-ECD0-418E-AE58-85135E19334A}" type="TxLink">
            <a:rPr lang="en-US" sz="2400" b="0" i="0" u="none" strike="noStrike">
              <a:solidFill>
                <a:schemeClr val="bg1"/>
              </a:solidFill>
              <a:latin typeface="Aptos Narrow"/>
            </a:rPr>
            <a:pPr/>
            <a:t> 5,395,294 </a:t>
          </a:fld>
          <a:endParaRPr lang="en-US" sz="6600">
            <a:solidFill>
              <a:schemeClr val="bg1"/>
            </a:solidFill>
          </a:endParaRPr>
        </a:p>
      </xdr:txBody>
    </xdr:sp>
    <xdr:clientData/>
  </xdr:oneCellAnchor>
  <xdr:oneCellAnchor>
    <xdr:from>
      <xdr:col>0</xdr:col>
      <xdr:colOff>304799</xdr:colOff>
      <xdr:row>0</xdr:row>
      <xdr:rowOff>35860</xdr:rowOff>
    </xdr:from>
    <xdr:ext cx="4863191" cy="593239"/>
    <xdr:sp macro="" textlink="">
      <xdr:nvSpPr>
        <xdr:cNvPr id="12" name="TextBox 11">
          <a:extLst>
            <a:ext uri="{FF2B5EF4-FFF2-40B4-BE49-F238E27FC236}">
              <a16:creationId xmlns:a16="http://schemas.microsoft.com/office/drawing/2014/main" id="{8960CE83-AA44-10F3-079C-023AE202B8B6}"/>
            </a:ext>
          </a:extLst>
        </xdr:cNvPr>
        <xdr:cNvSpPr txBox="1"/>
      </xdr:nvSpPr>
      <xdr:spPr>
        <a:xfrm>
          <a:off x="304799" y="35860"/>
          <a:ext cx="4863191" cy="593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3200">
              <a:solidFill>
                <a:srgbClr val="FFFF00"/>
              </a:solidFill>
            </a:rPr>
            <a:t>RDT / SLIS Sales Dash Board </a:t>
          </a:r>
        </a:p>
      </xdr:txBody>
    </xdr:sp>
    <xdr:clientData/>
  </xdr:oneCellAnchor>
  <xdr:oneCellAnchor>
    <xdr:from>
      <xdr:col>18</xdr:col>
      <xdr:colOff>233082</xdr:colOff>
      <xdr:row>2</xdr:row>
      <xdr:rowOff>134470</xdr:rowOff>
    </xdr:from>
    <xdr:ext cx="510268" cy="264560"/>
    <xdr:sp macro="" textlink="">
      <xdr:nvSpPr>
        <xdr:cNvPr id="13" name="TextBox 12">
          <a:extLst>
            <a:ext uri="{FF2B5EF4-FFF2-40B4-BE49-F238E27FC236}">
              <a16:creationId xmlns:a16="http://schemas.microsoft.com/office/drawing/2014/main" id="{DAFD9A50-C35A-AD1E-808B-E509963E8393}"/>
            </a:ext>
          </a:extLst>
        </xdr:cNvPr>
        <xdr:cNvSpPr txBox="1"/>
      </xdr:nvSpPr>
      <xdr:spPr>
        <a:xfrm>
          <a:off x="11205882" y="493058"/>
          <a:ext cx="51026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solidFill>
                <a:srgbClr val="FFFF00"/>
              </a:solidFill>
            </a:rPr>
            <a:t>Night </a:t>
          </a:r>
        </a:p>
      </xdr:txBody>
    </xdr:sp>
    <xdr:clientData/>
  </xdr:oneCellAnchor>
  <xdr:oneCellAnchor>
    <xdr:from>
      <xdr:col>23</xdr:col>
      <xdr:colOff>573741</xdr:colOff>
      <xdr:row>2</xdr:row>
      <xdr:rowOff>116540</xdr:rowOff>
    </xdr:from>
    <xdr:ext cx="696666" cy="264560"/>
    <xdr:sp macro="" textlink="">
      <xdr:nvSpPr>
        <xdr:cNvPr id="14" name="TextBox 13">
          <a:extLst>
            <a:ext uri="{FF2B5EF4-FFF2-40B4-BE49-F238E27FC236}">
              <a16:creationId xmlns:a16="http://schemas.microsoft.com/office/drawing/2014/main" id="{6D8F2BCB-CE1A-A3C9-9E42-9C8C815369C7}"/>
            </a:ext>
          </a:extLst>
        </xdr:cNvPr>
        <xdr:cNvSpPr txBox="1"/>
      </xdr:nvSpPr>
      <xdr:spPr>
        <a:xfrm>
          <a:off x="14594541" y="475128"/>
          <a:ext cx="69666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solidFill>
                <a:srgbClr val="FFFF00"/>
              </a:solidFill>
            </a:rPr>
            <a:t>Revenue </a:t>
          </a:r>
        </a:p>
      </xdr:txBody>
    </xdr:sp>
    <xdr:clientData/>
  </xdr:oneCellAnchor>
  <xdr:twoCellAnchor editAs="oneCell">
    <xdr:from>
      <xdr:col>23</xdr:col>
      <xdr:colOff>251012</xdr:colOff>
      <xdr:row>13</xdr:row>
      <xdr:rowOff>116540</xdr:rowOff>
    </xdr:from>
    <xdr:to>
      <xdr:col>26</xdr:col>
      <xdr:colOff>681318</xdr:colOff>
      <xdr:row>25</xdr:row>
      <xdr:rowOff>170328</xdr:rowOff>
    </xdr:to>
    <mc:AlternateContent xmlns:mc="http://schemas.openxmlformats.org/markup-compatibility/2006" xmlns:a14="http://schemas.microsoft.com/office/drawing/2010/main">
      <mc:Choice Requires="a14">
        <xdr:graphicFrame macro="">
          <xdr:nvGraphicFramePr>
            <xdr:cNvPr id="15" name="Month 1">
              <a:extLst>
                <a:ext uri="{FF2B5EF4-FFF2-40B4-BE49-F238E27FC236}">
                  <a16:creationId xmlns:a16="http://schemas.microsoft.com/office/drawing/2014/main" id="{DF4D7C34-5665-4C4E-BD4C-9BE5B86CA4E1}"/>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4271812" y="2537011"/>
              <a:ext cx="2259106" cy="22053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251908</xdr:colOff>
      <xdr:row>4</xdr:row>
      <xdr:rowOff>13897</xdr:rowOff>
    </xdr:from>
    <xdr:to>
      <xdr:col>26</xdr:col>
      <xdr:colOff>690282</xdr:colOff>
      <xdr:row>13</xdr:row>
      <xdr:rowOff>71718</xdr:rowOff>
    </xdr:to>
    <mc:AlternateContent xmlns:mc="http://schemas.openxmlformats.org/markup-compatibility/2006" xmlns:a14="http://schemas.microsoft.com/office/drawing/2010/main">
      <mc:Choice Requires="a14">
        <xdr:graphicFrame macro="">
          <xdr:nvGraphicFramePr>
            <xdr:cNvPr id="16" name="Year 3">
              <a:extLst>
                <a:ext uri="{FF2B5EF4-FFF2-40B4-BE49-F238E27FC236}">
                  <a16:creationId xmlns:a16="http://schemas.microsoft.com/office/drawing/2014/main" id="{5D627251-FCB7-4DC3-BD11-57A08879B9DE}"/>
                </a:ext>
              </a:extLst>
            </xdr:cNvPr>
            <xdr:cNvGraphicFramePr/>
          </xdr:nvGraphicFramePr>
          <xdr:xfrm>
            <a:off x="0" y="0"/>
            <a:ext cx="0" cy="0"/>
          </xdr:xfrm>
          <a:graphic>
            <a:graphicData uri="http://schemas.microsoft.com/office/drawing/2010/slicer">
              <sle:slicer xmlns:sle="http://schemas.microsoft.com/office/drawing/2010/slicer" name="Year 3"/>
            </a:graphicData>
          </a:graphic>
        </xdr:graphicFrame>
      </mc:Choice>
      <mc:Fallback xmlns="">
        <xdr:sp macro="" textlink="">
          <xdr:nvSpPr>
            <xdr:cNvPr id="0" name=""/>
            <xdr:cNvSpPr>
              <a:spLocks noTextEdit="1"/>
            </xdr:cNvSpPr>
          </xdr:nvSpPr>
          <xdr:spPr>
            <a:xfrm>
              <a:off x="14272708" y="820721"/>
              <a:ext cx="2267174" cy="16714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HP/Desktop/RDT%20_%20SLIS%20data%202019todat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5"/>
      <sheetName val="Sheet6"/>
      <sheetName val="Worksheet"/>
      <sheetName val="Sheet3"/>
      <sheetName val="db"/>
      <sheetName val="Sheet8"/>
    </sheetNames>
    <sheetDataSet>
      <sheetData sheetId="0"/>
      <sheetData sheetId="1"/>
      <sheetData sheetId="2"/>
      <sheetData sheetId="3">
        <row r="1">
          <cell r="B1">
            <v>305</v>
          </cell>
        </row>
        <row r="2">
          <cell r="B2">
            <v>385</v>
          </cell>
        </row>
        <row r="3">
          <cell r="B3">
            <v>328</v>
          </cell>
        </row>
        <row r="4">
          <cell r="B4">
            <v>198</v>
          </cell>
        </row>
      </sheetData>
      <sheetData sheetId="4"/>
      <sheetData sheetId="5"/>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Krishan" refreshedDate="45387.662889699073" createdVersion="8" refreshedVersion="8" minRefreshableVersion="3" recordCount="806">
  <cacheSource type="worksheet">
    <worksheetSource ref="A1:T1048576" sheet="Sheet1"/>
  </cacheSource>
  <cacheFields count="20">
    <cacheField name="No" numFmtId="0">
      <sharedItems containsString="0" containsBlank="1" containsNumber="1" containsInteger="1" minValue="1" maxValue="805"/>
    </cacheField>
    <cacheField name="Master Reference" numFmtId="0">
      <sharedItems containsBlank="1"/>
    </cacheField>
    <cacheField name="Agent" numFmtId="0">
      <sharedItems containsBlank="1" count="3">
        <s v="Red Dot Tours - RedDotTours  (RDT)"/>
        <s v="SriLankaInStyle - SriLankaInStyle  (SLIS)"/>
        <m/>
      </sharedItems>
    </cacheField>
    <cacheField name="Enquiry Source" numFmtId="0">
      <sharedItems containsBlank="1" count="10">
        <s v="website"/>
        <s v="local sales fam"/>
        <s v="repeat client"/>
        <s v="referral"/>
        <s v="wendy perrin"/>
        <s v="fam"/>
        <s v="referral program - yaluwo"/>
        <s v="zicasso"/>
        <s v="agent"/>
        <m/>
      </sharedItems>
    </cacheField>
    <cacheField name="Consultant" numFmtId="0">
      <sharedItems containsBlank="1" count="39">
        <s v="SamanthiK"/>
        <s v="DULMINIE,KosalaG"/>
        <s v="Nicolaw"/>
        <s v="DULMINIE"/>
        <s v="lahiruK"/>
        <s v="KosalaG,Nicolaw"/>
        <s v="KosalaG,SamanthiK"/>
        <s v="NURIAF"/>
        <s v="DonovanA"/>
        <s v="NadishikaP"/>
        <s v="RafaelT"/>
        <s v="AshanW,lahiruK"/>
        <s v="RozanneD"/>
        <s v="ANDREAG"/>
        <s v="RamithK"/>
        <s v="KosalaG"/>
        <s v="ChrishanthanM,dinus"/>
        <s v="IkshulaW"/>
        <s v="dinus"/>
        <s v="DYLANR"/>
        <s v="MohamedR"/>
        <s v="NishokL"/>
        <s v="NAZREENN"/>
        <s v="THILINIM"/>
        <s v="KosalaG,LahiruK"/>
        <s v="DAVIDG"/>
        <s v="michaeld"/>
        <s v="DAVIDG,KosalaG"/>
        <s v="MEVANTHAD"/>
        <s v="KosalaG,RafaelT"/>
        <s v="AmrickA"/>
        <s v="RachelB"/>
        <s v="KosalaG,ManoriP,RafaelT"/>
        <s v="ManoriP,RafaelT"/>
        <s v="DinuS,KosalaG"/>
        <s v="AndreP"/>
        <s v="TuanK"/>
        <s v="DiendraW"/>
        <m/>
      </sharedItems>
    </cacheField>
    <cacheField name="Country Of Residence" numFmtId="0">
      <sharedItems containsBlank="1"/>
    </cacheField>
    <cacheField name="Destination Country" numFmtId="0">
      <sharedItems containsBlank="1"/>
    </cacheField>
    <cacheField name="Nationality" numFmtId="0">
      <sharedItems containsBlank="1" count="52">
        <s v="American"/>
        <s v="British"/>
        <s v="Australian"/>
        <s v="Maltese"/>
        <s v="Singaporean"/>
        <s v="Canadian"/>
        <s v="Colombian"/>
        <s v="German"/>
        <s v="Bangladeshi"/>
        <s v="Sri Lankan"/>
        <s v="Dutch"/>
        <s v="Italian"/>
        <s v="Indian"/>
        <s v="Irish"/>
        <s v="French"/>
        <s v="Portuguese"/>
        <s v="Mexican"/>
        <s v="Danish"/>
        <s v="Spanish"/>
        <s v="New Zealander"/>
        <s v="Syrian Arab Republic"/>
        <s v="Swiss"/>
        <s v="Serbian"/>
        <s v="Saudi"/>
        <s v="Australian(Norfolk Islands)"/>
        <s v="Netherlander"/>
        <s v="Austrian"/>
        <s v="Polish"/>
        <s v="Hungarian"/>
        <s v="Argentina"/>
        <s v="South African"/>
        <s v="Belgian"/>
        <s v="Russian"/>
        <s v="Slovenian"/>
        <s v="Chilean"/>
        <s v="Swedish"/>
        <s v="Ivory Coast"/>
        <s v="Lithuanian"/>
        <s v="Hong Kong"/>
        <s v="Jamaican"/>
        <s v="Finnish"/>
        <s v="Bosnia and Herzegovina"/>
        <s v="Cypriot"/>
        <s v="Norwegian"/>
        <s v="Pakistani"/>
        <s v="Greece"/>
        <s v="Emirati"/>
        <s v="Jersey"/>
        <s v="American,Omani"/>
        <s v="Chinese"/>
        <s v="Guatemalan"/>
        <m/>
      </sharedItems>
    </cacheField>
    <cacheField name="Leader Name" numFmtId="0">
      <sharedItems containsBlank="1"/>
    </cacheField>
    <cacheField name="Leader Email" numFmtId="0">
      <sharedItems containsBlank="1" containsMixedTypes="1" containsNumber="1" containsInteger="1" minValue="413295889" maxValue="413295889"/>
    </cacheField>
    <cacheField name="Booking Start Date" numFmtId="0">
      <sharedItems containsNonDate="0" containsDate="1" containsString="0" containsBlank="1" minDate="2019-03-31T00:00:00" maxDate="2024-03-21T00:00:00"/>
    </cacheField>
    <cacheField name="Service From Date" numFmtId="0">
      <sharedItems containsNonDate="0" containsDate="1" containsString="0" containsBlank="1" minDate="2019-04-02T00:00:00" maxDate="2024-04-01T00:00:00"/>
    </cacheField>
    <cacheField name="Service To Date" numFmtId="0">
      <sharedItems containsNonDate="0" containsDate="1" containsString="0" containsBlank="1" minDate="2019-04-02T00:00:00" maxDate="2024-04-21T00:00:00"/>
    </cacheField>
    <cacheField name="Night" numFmtId="1">
      <sharedItems containsString="0" containsBlank="1" containsNumber="1" containsInteger="1" minValue="0" maxValue="387"/>
    </cacheField>
    <cacheField name="Currency" numFmtId="0">
      <sharedItems containsBlank="1"/>
    </cacheField>
    <cacheField name="Agent Rate" numFmtId="0">
      <sharedItems containsString="0" containsBlank="1" containsNumber="1" minValue="0" maxValue="791335.22"/>
    </cacheField>
    <cacheField name="Tags" numFmtId="0">
      <sharedItems containsBlank="1"/>
    </cacheField>
    <cacheField name="Year" numFmtId="0">
      <sharedItems containsBlank="1" count="8">
        <s v="2024"/>
        <m/>
        <s v="2023"/>
        <s v="2022"/>
        <s v="2021"/>
        <s v="2020"/>
        <s v="2019"/>
        <s v="1900" u="1"/>
      </sharedItems>
    </cacheField>
    <cacheField name="Month" numFmtId="0">
      <sharedItems containsBlank="1" count="13">
        <s v="March"/>
        <s v="February"/>
        <s v="January"/>
        <s v="December"/>
        <s v="November"/>
        <s v="October"/>
        <s v="September"/>
        <s v="August"/>
        <s v="July"/>
        <s v="June"/>
        <s v="May"/>
        <s v="April"/>
        <m/>
      </sharedItems>
    </cacheField>
    <cacheField name="value" numFmtId="0">
      <sharedItems containsString="0" containsBlank="1" containsNumber="1" minValue="0" maxValue="791335.22"/>
    </cacheField>
  </cacheFields>
  <extLst>
    <ext xmlns:x14="http://schemas.microsoft.com/office/spreadsheetml/2009/9/main" uri="{725AE2AE-9491-48be-B2B4-4EB974FC3084}">
      <x14:pivotCacheDefinition pivotCacheId="70408226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6">
  <r>
    <n v="1"/>
    <s v="RDT2024034551"/>
    <x v="0"/>
    <x v="0"/>
    <x v="0"/>
    <s v="United Arab Emirates"/>
    <s v="Sri Lanka"/>
    <x v="0"/>
    <s v="Ms Angelique Lott LLanas"/>
    <s v="allanas73@outlook.com"/>
    <d v="2024-03-20T00:00:00"/>
    <d v="2024-03-26T00:00:00"/>
    <d v="2024-03-30T00:00:00"/>
    <n v="4"/>
    <s v="USD"/>
    <n v="3183.93"/>
    <m/>
    <x v="0"/>
    <x v="0"/>
    <n v="3183.93"/>
  </r>
  <r>
    <n v="2"/>
    <s v="RDT2024034514"/>
    <x v="0"/>
    <x v="0"/>
    <x v="1"/>
    <s v="United Kingdom"/>
    <s v="Sri Lanka"/>
    <x v="1"/>
    <s v="Mr Matthew  Meyer"/>
    <s v="mfmeyer@hotmail.com"/>
    <d v="2024-03-15T00:00:00"/>
    <d v="2024-03-23T00:00:00"/>
    <d v="2024-04-01T00:00:00"/>
    <n v="9"/>
    <s v="USD"/>
    <n v="5459.46"/>
    <m/>
    <x v="0"/>
    <x v="0"/>
    <n v="5459.46"/>
  </r>
  <r>
    <n v="3"/>
    <s v="RDT2024034505"/>
    <x v="0"/>
    <x v="1"/>
    <x v="0"/>
    <s v="United Kingdom"/>
    <s v="Sri Lanka"/>
    <x v="1"/>
    <s v="Mr David Hopps"/>
    <s v="davidhopps@reddottours.com"/>
    <d v="2024-03-14T00:00:00"/>
    <d v="2024-03-19T00:00:00"/>
    <d v="2024-03-19T00:00:00"/>
    <n v="0"/>
    <s v="USD"/>
    <n v="194.99"/>
    <m/>
    <x v="0"/>
    <x v="0"/>
    <n v="194.99"/>
  </r>
  <r>
    <n v="4"/>
    <s v="RDT2024024350"/>
    <x v="0"/>
    <x v="0"/>
    <x v="2"/>
    <s v="Hong Kong"/>
    <s v="Sri Lanka"/>
    <x v="2"/>
    <s v="Mrs Jade Wong"/>
    <s v="wongjadeom@gmail.com"/>
    <d v="2024-02-28T00:00:00"/>
    <d v="2024-03-28T00:00:00"/>
    <d v="2024-04-07T00:00:00"/>
    <n v="10"/>
    <s v="USD"/>
    <n v="10129.35"/>
    <m/>
    <x v="0"/>
    <x v="0"/>
    <n v="10129.35"/>
  </r>
  <r>
    <n v="5"/>
    <s v="RDT2024024300"/>
    <x v="0"/>
    <x v="0"/>
    <x v="0"/>
    <s v="United Kingdom"/>
    <s v="Sri Lanka"/>
    <x v="1"/>
    <s v="Mrs Amy  Howett"/>
    <s v="amyhedgerhowett@gmail.com"/>
    <d v="2024-02-24T00:00:00"/>
    <d v="2024-03-31T00:00:00"/>
    <d v="2024-04-07T00:00:00"/>
    <n v="7"/>
    <s v="USD"/>
    <n v="6178"/>
    <m/>
    <x v="0"/>
    <x v="0"/>
    <n v="6178"/>
  </r>
  <r>
    <n v="6"/>
    <s v="RDT2024024299"/>
    <x v="0"/>
    <x v="0"/>
    <x v="0"/>
    <s v="United Kingdom"/>
    <s v="Sri Lanka"/>
    <x v="1"/>
    <s v="Mr Lucy Madeleine Young"/>
    <s v="lucyyoung00@gmail.com"/>
    <d v="2024-02-24T00:00:00"/>
    <d v="2024-03-28T00:00:00"/>
    <d v="2024-04-05T00:00:00"/>
    <n v="8"/>
    <s v="USD"/>
    <n v="855"/>
    <m/>
    <x v="0"/>
    <x v="0"/>
    <n v="855"/>
  </r>
  <r>
    <n v="7"/>
    <s v="RDT2024024289"/>
    <x v="0"/>
    <x v="0"/>
    <x v="3"/>
    <s v="United Kingdom"/>
    <s v="Sri Lanka"/>
    <x v="1"/>
    <s v="Mr Peter Suggett"/>
    <s v="peter.suggett@yahoo.co.uk"/>
    <d v="2024-02-23T00:00:00"/>
    <d v="2024-03-07T00:00:00"/>
    <d v="2024-03-16T00:00:00"/>
    <n v="9"/>
    <s v="USD"/>
    <n v="3463.59"/>
    <m/>
    <x v="0"/>
    <x v="0"/>
    <n v="3463.59"/>
  </r>
  <r>
    <n v="8"/>
    <s v="RDT2024024200"/>
    <x v="0"/>
    <x v="2"/>
    <x v="4"/>
    <s v="United Kingdom"/>
    <s v="Sri Lanka"/>
    <x v="1"/>
    <s v="Mrs Melinda  Lytle Hamilton Stubbs"/>
    <s v="mstubbs41@gmail.com"/>
    <d v="2024-02-16T00:00:00"/>
    <d v="2024-02-16T00:00:00"/>
    <d v="2024-02-16T00:00:00"/>
    <n v="0"/>
    <s v="USD"/>
    <n v="93"/>
    <m/>
    <x v="0"/>
    <x v="1"/>
    <n v="93"/>
  </r>
  <r>
    <n v="9"/>
    <s v="RDT2024024143"/>
    <x v="0"/>
    <x v="0"/>
    <x v="3"/>
    <s v="United States of America"/>
    <s v="Sri Lanka"/>
    <x v="0"/>
    <s v="Mr Peter Harnik"/>
    <s v="pvelikii@gmail.com"/>
    <d v="2024-02-10T00:00:00"/>
    <d v="2024-03-20T00:00:00"/>
    <d v="2024-03-25T00:00:00"/>
    <n v="5"/>
    <s v="USD"/>
    <n v="2074.69"/>
    <m/>
    <x v="0"/>
    <x v="0"/>
    <n v="2074.69"/>
  </r>
  <r>
    <n v="10"/>
    <s v="RDT2024024133"/>
    <x v="0"/>
    <x v="0"/>
    <x v="3"/>
    <s v="United Kingdom"/>
    <s v="India"/>
    <x v="1"/>
    <s v="Mr Tony  Reece"/>
    <s v="reecer@blueyonder.co.uk"/>
    <d v="2024-02-09T00:00:00"/>
    <d v="2024-03-30T00:00:00"/>
    <d v="2024-03-30T00:00:00"/>
    <n v="0"/>
    <s v="USD"/>
    <n v="4351.82"/>
    <m/>
    <x v="0"/>
    <x v="0"/>
    <n v="4351.82"/>
  </r>
  <r>
    <n v="11"/>
    <s v="RDT2024024113"/>
    <x v="0"/>
    <x v="0"/>
    <x v="4"/>
    <s v="Australia"/>
    <s v="Sri Lanka"/>
    <x v="2"/>
    <s v="Ms Annette Sook Meng  FitzGibbon"/>
    <s v="Annetteleong232@gmail.com"/>
    <d v="2024-02-07T00:00:00"/>
    <d v="2024-03-14T00:00:00"/>
    <d v="2024-03-24T00:00:00"/>
    <n v="10"/>
    <s v="USD"/>
    <n v="4584.66"/>
    <m/>
    <x v="0"/>
    <x v="0"/>
    <n v="4584.66"/>
  </r>
  <r>
    <n v="12"/>
    <s v="RDT2024024104"/>
    <x v="0"/>
    <x v="0"/>
    <x v="3"/>
    <s v="United Kingdom"/>
    <s v="Sri Lanka"/>
    <x v="1"/>
    <s v="Mrs Sophie  Clucas"/>
    <s v="sophieclucas@hotmail.com"/>
    <d v="2024-02-06T00:00:00"/>
    <d v="2024-03-02T00:00:00"/>
    <d v="2024-03-15T00:00:00"/>
    <n v="13"/>
    <s v="USD"/>
    <n v="5227.7299999999996"/>
    <m/>
    <x v="0"/>
    <x v="0"/>
    <n v="5227.7299999999996"/>
  </r>
  <r>
    <n v="13"/>
    <s v="RDT2024014005"/>
    <x v="0"/>
    <x v="2"/>
    <x v="4"/>
    <s v="United Kingdom"/>
    <s v="Sri Lanka"/>
    <x v="1"/>
    <s v="Mr Oliver John Irons"/>
    <s v="Oliver.Irons@simmons-simmons.com"/>
    <d v="2024-01-31T00:00:00"/>
    <d v="2024-03-27T00:00:00"/>
    <d v="2024-04-12T00:00:00"/>
    <n v="16"/>
    <s v="USD"/>
    <n v="7946.26"/>
    <m/>
    <x v="0"/>
    <x v="0"/>
    <n v="7946.26"/>
  </r>
  <r>
    <n v="14"/>
    <s v="RDT2024013994"/>
    <x v="0"/>
    <x v="3"/>
    <x v="3"/>
    <s v="Malta"/>
    <s v="Sri Lanka"/>
    <x v="3"/>
    <s v="Mrs Bianca  Anastasi"/>
    <s v="anastasibianca@gmail.com"/>
    <d v="2024-02-02T00:00:00"/>
    <d v="2024-03-23T00:00:00"/>
    <d v="2024-04-07T00:00:00"/>
    <n v="15"/>
    <s v="USD"/>
    <n v="19086.099999999999"/>
    <m/>
    <x v="0"/>
    <x v="0"/>
    <n v="19086.099999999999"/>
  </r>
  <r>
    <n v="15"/>
    <s v="RDT2024013986"/>
    <x v="0"/>
    <x v="3"/>
    <x v="4"/>
    <s v="United Kingdom"/>
    <s v="Sri Lanka"/>
    <x v="1"/>
    <s v="Mr David  Benjamin Ridgwell"/>
    <s v="benandcamilla@aol.com"/>
    <d v="2024-01-30T00:00:00"/>
    <d v="2024-02-24T00:00:00"/>
    <d v="2024-02-27T00:00:00"/>
    <n v="3"/>
    <s v="USD"/>
    <n v="1197.58"/>
    <m/>
    <x v="0"/>
    <x v="1"/>
    <n v="1197.58"/>
  </r>
  <r>
    <n v="16"/>
    <s v="SLIS2024013938"/>
    <x v="1"/>
    <x v="0"/>
    <x v="0"/>
    <s v="United Kingdom"/>
    <s v="Sri Lanka"/>
    <x v="1"/>
    <s v="Ms Emily Fenton"/>
    <s v="emily_fenton@btinternet.com"/>
    <d v="2024-01-24T00:00:00"/>
    <m/>
    <m/>
    <n v="0"/>
    <s v="USD"/>
    <n v="170"/>
    <m/>
    <x v="1"/>
    <x v="2"/>
    <n v="170"/>
  </r>
  <r>
    <n v="17"/>
    <s v="RDT2024013907"/>
    <x v="0"/>
    <x v="2"/>
    <x v="4"/>
    <s v="United Kingdom"/>
    <s v="Sri Lanka"/>
    <x v="1"/>
    <s v="Mr James Henry Michael Clayton"/>
    <s v="jameshmclayton@mac.com"/>
    <d v="2024-01-22T00:00:00"/>
    <d v="2024-02-06T00:00:00"/>
    <d v="2024-02-17T00:00:00"/>
    <n v="11"/>
    <s v="USD"/>
    <n v="650"/>
    <m/>
    <x v="0"/>
    <x v="1"/>
    <n v="650"/>
  </r>
  <r>
    <n v="18"/>
    <s v="RDT2024013894"/>
    <x v="0"/>
    <x v="2"/>
    <x v="3"/>
    <s v="United Kingdom"/>
    <s v="Sri Lanka"/>
    <x v="1"/>
    <s v="Mr Alan  Methven Smith"/>
    <s v="alansmith67@blueyonder.co.uk"/>
    <d v="2024-01-19T00:00:00"/>
    <d v="2024-02-21T00:00:00"/>
    <d v="2024-03-13T00:00:00"/>
    <n v="21"/>
    <s v="USD"/>
    <n v="9457.5300000000007"/>
    <m/>
    <x v="0"/>
    <x v="1"/>
    <n v="9457.5300000000007"/>
  </r>
  <r>
    <n v="19"/>
    <s v="SLIS2024013873"/>
    <x v="1"/>
    <x v="4"/>
    <x v="5"/>
    <s v="Hong Kong"/>
    <s v="Sri Lanka"/>
    <x v="0"/>
    <s v="Mrs Harriet Holbrook"/>
    <s v="hholbrook@gmail.com"/>
    <d v="2024-01-18T00:00:00"/>
    <d v="2024-01-31T00:00:00"/>
    <d v="2024-02-06T00:00:00"/>
    <n v="6"/>
    <s v="USD"/>
    <n v="3862.02"/>
    <m/>
    <x v="0"/>
    <x v="2"/>
    <n v="3862.02"/>
  </r>
  <r>
    <n v="20"/>
    <s v="RDT2024013861"/>
    <x v="0"/>
    <x v="3"/>
    <x v="4"/>
    <s v="United Kingdom"/>
    <s v="Sri Lanka"/>
    <x v="1"/>
    <s v="Ms Lyndsey  Ann Posner"/>
    <s v="posnerl@mac.com"/>
    <d v="2024-01-17T00:00:00"/>
    <d v="2024-02-24T00:00:00"/>
    <d v="2024-03-09T00:00:00"/>
    <n v="14"/>
    <s v="USD"/>
    <n v="22024.68"/>
    <m/>
    <x v="0"/>
    <x v="1"/>
    <n v="22024.68"/>
  </r>
  <r>
    <n v="21"/>
    <s v="RDT2024013855"/>
    <x v="0"/>
    <x v="0"/>
    <x v="3"/>
    <s v="United Kingdom"/>
    <s v="Sri Lanka"/>
    <x v="1"/>
    <s v="Mr Jack  Fisk"/>
    <s v="jackfisk13@googlemail.com"/>
    <d v="2024-01-17T00:00:00"/>
    <d v="2024-01-31T00:00:00"/>
    <d v="2024-04-07T00:00:00"/>
    <n v="67"/>
    <s v="USD"/>
    <n v="9619.69"/>
    <m/>
    <x v="0"/>
    <x v="2"/>
    <n v="9619.69"/>
  </r>
  <r>
    <n v="22"/>
    <s v="RDT2024013846"/>
    <x v="0"/>
    <x v="0"/>
    <x v="3"/>
    <s v="United Kingdom"/>
    <s v="Sri Lanka"/>
    <x v="1"/>
    <s v="Mrs Andrea  Marianne Julius"/>
    <s v="andrea@julius.org.uk : tony@julius.org.uk"/>
    <d v="2024-01-16T00:00:00"/>
    <d v="2024-03-30T00:00:00"/>
    <d v="2024-04-12T00:00:00"/>
    <n v="13"/>
    <s v="USD"/>
    <n v="3825.33"/>
    <m/>
    <x v="0"/>
    <x v="0"/>
    <n v="3825.33"/>
  </r>
  <r>
    <n v="23"/>
    <s v="RDT2024013831"/>
    <x v="0"/>
    <x v="0"/>
    <x v="4"/>
    <s v="United Kingdom"/>
    <s v="Sri Lanka"/>
    <x v="1"/>
    <s v="Mr Nicholas  Peter Borowiecki"/>
    <s v="niki@nikiborowiecki.com"/>
    <d v="2024-01-16T00:00:00"/>
    <d v="2024-02-11T00:00:00"/>
    <d v="2024-03-03T00:00:00"/>
    <n v="21"/>
    <s v="USD"/>
    <n v="9840.19"/>
    <m/>
    <x v="0"/>
    <x v="1"/>
    <n v="9840.19"/>
  </r>
  <r>
    <n v="24"/>
    <s v="RDT2024013829"/>
    <x v="0"/>
    <x v="0"/>
    <x v="3"/>
    <s v="United States of America"/>
    <s v="Sri Lanka"/>
    <x v="0"/>
    <s v="Mr Thomas  Birch"/>
    <s v="bircht@earthlink.net"/>
    <d v="2024-01-15T00:00:00"/>
    <d v="2024-03-01T00:00:00"/>
    <d v="2024-03-12T00:00:00"/>
    <n v="11"/>
    <s v="USD"/>
    <n v="4005.61"/>
    <m/>
    <x v="0"/>
    <x v="0"/>
    <n v="4005.61"/>
  </r>
  <r>
    <n v="25"/>
    <s v="RDT2024013826"/>
    <x v="0"/>
    <x v="0"/>
    <x v="0"/>
    <s v="United Kingdom"/>
    <s v="Sri Lanka"/>
    <x v="1"/>
    <s v="Ms Alice  Buckingham"/>
    <s v="aeg.buckingham@gmail.com"/>
    <d v="2024-01-13T00:00:00"/>
    <d v="2024-01-28T00:00:00"/>
    <d v="2024-02-09T00:00:00"/>
    <n v="12"/>
    <s v="USD"/>
    <n v="8088"/>
    <m/>
    <x v="0"/>
    <x v="2"/>
    <n v="8088"/>
  </r>
  <r>
    <n v="26"/>
    <s v="RDT2024013825"/>
    <x v="0"/>
    <x v="0"/>
    <x v="2"/>
    <s v="Singapore"/>
    <s v="Sri Lanka"/>
    <x v="4"/>
    <s v="Mrs Karen Koh"/>
    <s v="kohmarzo@gmail.com"/>
    <d v="2024-01-13T00:00:00"/>
    <d v="2024-01-07T00:00:00"/>
    <d v="2024-02-17T00:00:00"/>
    <n v="41"/>
    <s v="USD"/>
    <n v="5209.3999999999996"/>
    <m/>
    <x v="0"/>
    <x v="2"/>
    <n v="5209.3999999999996"/>
  </r>
  <r>
    <n v="27"/>
    <s v="RDT2024013800"/>
    <x v="0"/>
    <x v="0"/>
    <x v="0"/>
    <s v="United Kingdom"/>
    <s v="Sri Lanka"/>
    <x v="1"/>
    <s v="Ms Philippa  Jane  Reade"/>
    <s v="pippagarrard@gmail.com"/>
    <d v="2024-01-10T00:00:00"/>
    <d v="2024-02-05T00:00:00"/>
    <d v="2024-02-25T00:00:00"/>
    <n v="20"/>
    <s v="USD"/>
    <n v="5264"/>
    <m/>
    <x v="0"/>
    <x v="1"/>
    <n v="5264"/>
  </r>
  <r>
    <n v="28"/>
    <s v="RDT2024013765"/>
    <x v="0"/>
    <x v="0"/>
    <x v="3"/>
    <s v="United Kingdom"/>
    <s v="Sri Lanka"/>
    <x v="1"/>
    <s v="Mr Ian  Boast"/>
    <s v="Rhianandian@btinternet.com"/>
    <d v="2024-01-05T00:00:00"/>
    <d v="2024-02-06T00:00:00"/>
    <d v="2024-02-24T00:00:00"/>
    <n v="18"/>
    <s v="USD"/>
    <n v="18288.46"/>
    <m/>
    <x v="0"/>
    <x v="1"/>
    <n v="18288.46"/>
  </r>
  <r>
    <n v="29"/>
    <s v="RDT2024013763"/>
    <x v="0"/>
    <x v="0"/>
    <x v="4"/>
    <s v="United States of America"/>
    <s v="Sri Lanka"/>
    <x v="0"/>
    <s v="Ms Deborah  Ann Brown"/>
    <s v="Dbbrn22@gmail.com"/>
    <d v="2024-01-05T00:00:00"/>
    <d v="2024-01-17T00:00:00"/>
    <d v="2024-02-05T00:00:00"/>
    <n v="19"/>
    <s v="USD"/>
    <n v="6429.97"/>
    <m/>
    <x v="0"/>
    <x v="2"/>
    <n v="6429.97"/>
  </r>
  <r>
    <n v="30"/>
    <s v="SLIS2024013762"/>
    <x v="1"/>
    <x v="0"/>
    <x v="2"/>
    <s v="Singapore"/>
    <s v="Sri Lanka"/>
    <x v="4"/>
    <s v="Mrs Lim Pek Kueen"/>
    <s v="lim.kerri@gmail.com"/>
    <d v="2024-01-05T00:00:00"/>
    <d v="2024-02-08T00:00:00"/>
    <d v="2024-02-18T00:00:00"/>
    <n v="10"/>
    <s v="USD"/>
    <n v="7415.97"/>
    <m/>
    <x v="0"/>
    <x v="1"/>
    <n v="7415.97"/>
  </r>
  <r>
    <n v="31"/>
    <s v="RDT2023123692"/>
    <x v="0"/>
    <x v="0"/>
    <x v="4"/>
    <s v="United Kingdom"/>
    <s v="Sri Lanka"/>
    <x v="1"/>
    <s v="Mr William  Edward John Simmons"/>
    <s v="naseby1645@yahoo.co.uk"/>
    <d v="2024-01-01T00:00:00"/>
    <d v="2024-02-25T00:00:00"/>
    <d v="2024-03-13T00:00:00"/>
    <n v="17"/>
    <s v="USD"/>
    <n v="23479.46"/>
    <m/>
    <x v="0"/>
    <x v="1"/>
    <n v="23479.46"/>
  </r>
  <r>
    <n v="32"/>
    <s v="RDT2023123676"/>
    <x v="0"/>
    <x v="2"/>
    <x v="4"/>
    <s v="Canada"/>
    <s v="Sri Lanka"/>
    <x v="5"/>
    <s v="Mrs Sriyani  Widyaratne"/>
    <s v="suewidya@gmail.com"/>
    <d v="2023-12-28T00:00:00"/>
    <d v="2024-02-08T00:00:00"/>
    <d v="2024-02-20T00:00:00"/>
    <n v="12"/>
    <s v="USD"/>
    <n v="1866.36"/>
    <m/>
    <x v="0"/>
    <x v="1"/>
    <n v="1866.36"/>
  </r>
  <r>
    <n v="33"/>
    <s v="RDT2023123652"/>
    <x v="0"/>
    <x v="0"/>
    <x v="3"/>
    <s v="United Kingdom"/>
    <s v="Sri Lanka"/>
    <x v="1"/>
    <s v="Mr Russell  Lees"/>
    <s v="russell.l@btinternet.com"/>
    <d v="2023-12-22T00:00:00"/>
    <d v="2024-01-22T00:00:00"/>
    <d v="2024-01-31T00:00:00"/>
    <n v="9"/>
    <s v="USD"/>
    <n v="4810.78"/>
    <m/>
    <x v="0"/>
    <x v="2"/>
    <n v="4810.78"/>
  </r>
  <r>
    <n v="34"/>
    <s v="RDT2023123648"/>
    <x v="0"/>
    <x v="0"/>
    <x v="0"/>
    <s v="Colombia"/>
    <s v="Sri Lanka"/>
    <x v="6"/>
    <s v="Mr JOSE HUGO"/>
    <m/>
    <d v="2023-12-21T00:00:00"/>
    <d v="2024-01-06T00:00:00"/>
    <d v="2024-01-08T00:00:00"/>
    <n v="2"/>
    <s v="USD"/>
    <n v="170"/>
    <m/>
    <x v="0"/>
    <x v="2"/>
    <n v="170"/>
  </r>
  <r>
    <n v="35"/>
    <s v="RDT2023123643"/>
    <x v="0"/>
    <x v="0"/>
    <x v="3"/>
    <s v="Germany"/>
    <s v="Sri Lanka"/>
    <x v="7"/>
    <s v="Mr Pablo Groeger"/>
    <s v="pablo.groeger@web.de"/>
    <d v="2023-12-19T00:00:00"/>
    <d v="2023-12-22T00:00:00"/>
    <d v="2024-01-29T00:00:00"/>
    <n v="38"/>
    <s v="USD"/>
    <n v="4599.55"/>
    <m/>
    <x v="2"/>
    <x v="3"/>
    <n v="4599.55"/>
  </r>
  <r>
    <n v="36"/>
    <s v="RDT2023123642"/>
    <x v="0"/>
    <x v="0"/>
    <x v="3"/>
    <s v="United Kingdom"/>
    <s v="Sri Lanka"/>
    <x v="1"/>
    <s v="Mr James  Macdonald-Buchanan"/>
    <s v="jamesmacbuc@gmail.com"/>
    <d v="2023-12-19T00:00:00"/>
    <d v="2024-01-19T00:00:00"/>
    <d v="2024-02-09T00:00:00"/>
    <n v="21"/>
    <s v="USD"/>
    <n v="7465.08"/>
    <m/>
    <x v="0"/>
    <x v="2"/>
    <n v="7465.08"/>
  </r>
  <r>
    <n v="37"/>
    <s v="SLIS2023123638"/>
    <x v="1"/>
    <x v="0"/>
    <x v="3"/>
    <s v="United Kingdom"/>
    <s v="Sri Lanka"/>
    <x v="1"/>
    <s v="Ms Grace Rowe"/>
    <s v="gracie.rowe@hotmail.com"/>
    <d v="2023-12-18T00:00:00"/>
    <d v="2024-01-01T00:00:00"/>
    <d v="2024-01-12T00:00:00"/>
    <n v="11"/>
    <s v="USD"/>
    <n v="9917.07"/>
    <m/>
    <x v="0"/>
    <x v="2"/>
    <n v="9917.07"/>
  </r>
  <r>
    <n v="38"/>
    <s v="RDT2023123634"/>
    <x v="0"/>
    <x v="0"/>
    <x v="0"/>
    <s v="United Kingdom"/>
    <s v="Sri Lanka"/>
    <x v="1"/>
    <s v="Mr Neil Whyte"/>
    <s v="tower1972@gmail.com"/>
    <d v="2023-12-18T00:00:00"/>
    <d v="2023-12-19T00:00:00"/>
    <d v="2023-12-21T00:00:00"/>
    <n v="2"/>
    <s v="USD"/>
    <n v="473.52"/>
    <m/>
    <x v="2"/>
    <x v="3"/>
    <n v="473.52"/>
  </r>
  <r>
    <n v="39"/>
    <s v="RDT2023123633"/>
    <x v="0"/>
    <x v="2"/>
    <x v="3"/>
    <s v="United Kingdom"/>
    <s v="Sri Lanka"/>
    <x v="1"/>
    <s v="Mr Timothy  Blenkin"/>
    <s v="tim@spella.co.uk"/>
    <d v="2023-12-16T00:00:00"/>
    <d v="2024-02-05T00:00:00"/>
    <d v="2024-02-20T00:00:00"/>
    <n v="15"/>
    <s v="USD"/>
    <n v="8452.4599999999991"/>
    <m/>
    <x v="0"/>
    <x v="1"/>
    <n v="8452.4599999999991"/>
  </r>
  <r>
    <n v="40"/>
    <s v="RDT2023123632"/>
    <x v="0"/>
    <x v="3"/>
    <x v="3"/>
    <s v="United Kingdom"/>
    <s v="Sri Lanka"/>
    <x v="1"/>
    <s v="Mrs Rachel  Barstow"/>
    <s v="rbarstow@live.co.uk"/>
    <d v="2023-12-16T00:00:00"/>
    <d v="2024-02-11T00:00:00"/>
    <d v="2024-02-19T00:00:00"/>
    <n v="8"/>
    <s v="USD"/>
    <n v="4656.42"/>
    <m/>
    <x v="0"/>
    <x v="1"/>
    <n v="4656.42"/>
  </r>
  <r>
    <n v="41"/>
    <s v="RDT2023123629"/>
    <x v="0"/>
    <x v="3"/>
    <x v="4"/>
    <s v="United Kingdom"/>
    <s v="Sri Lanka"/>
    <x v="1"/>
    <s v="Ms Annabel Botsford"/>
    <s v="annabelbotsford.2011@my.bristol.ac.uk"/>
    <d v="2023-12-15T00:00:00"/>
    <d v="2023-12-19T00:00:00"/>
    <d v="2023-12-24T00:00:00"/>
    <n v="5"/>
    <s v="USD"/>
    <n v="552"/>
    <m/>
    <x v="2"/>
    <x v="3"/>
    <n v="552"/>
  </r>
  <r>
    <n v="42"/>
    <s v="RDT2023123625"/>
    <x v="0"/>
    <x v="2"/>
    <x v="4"/>
    <s v="United Kingdom"/>
    <s v="Sri Lanka"/>
    <x v="1"/>
    <s v="Mr Alistair  John Stoker"/>
    <s v="alistair.stoker@btinternet.com,alistair.stoker@btinternet.com"/>
    <d v="2023-12-14T00:00:00"/>
    <d v="2024-01-26T00:00:00"/>
    <d v="2024-02-06T00:00:00"/>
    <n v="11"/>
    <s v="USD"/>
    <n v="1668.81"/>
    <m/>
    <x v="0"/>
    <x v="2"/>
    <n v="1668.81"/>
  </r>
  <r>
    <n v="43"/>
    <s v="RDT2023123618"/>
    <x v="0"/>
    <x v="0"/>
    <x v="1"/>
    <s v="United Kingdom"/>
    <s v="Sri Lanka"/>
    <x v="1"/>
    <s v="Ms Justina  Chung"/>
    <s v="justinajanechung@gmail.com"/>
    <d v="2023-12-13T00:00:00"/>
    <d v="2024-01-03T00:00:00"/>
    <d v="2024-01-13T00:00:00"/>
    <n v="10"/>
    <s v="USD"/>
    <n v="3273.2"/>
    <m/>
    <x v="0"/>
    <x v="2"/>
    <n v="3273.2"/>
  </r>
  <r>
    <n v="44"/>
    <s v="RDT2023123615"/>
    <x v="0"/>
    <x v="0"/>
    <x v="4"/>
    <s v="United States of America"/>
    <s v="Sri Lanka"/>
    <x v="0"/>
    <s v="Mr Ruchira  Srinivasakrishnan"/>
    <s v="ruchira.srini@gmail.com"/>
    <d v="2023-12-13T00:00:00"/>
    <d v="2023-12-21T00:00:00"/>
    <d v="2023-12-30T00:00:00"/>
    <n v="9"/>
    <s v="USD"/>
    <n v="2675.42"/>
    <m/>
    <x v="2"/>
    <x v="3"/>
    <n v="2675.42"/>
  </r>
  <r>
    <n v="45"/>
    <s v="RDT2023123612"/>
    <x v="0"/>
    <x v="0"/>
    <x v="6"/>
    <s v="United Kingdom"/>
    <s v="Sri Lanka"/>
    <x v="1"/>
    <s v="Ms Michele  Williams"/>
    <s v="michele@mjwarchitects.com"/>
    <d v="2023-12-13T00:00:00"/>
    <d v="2024-01-18T00:00:00"/>
    <d v="2024-02-07T00:00:00"/>
    <n v="20"/>
    <s v="USD"/>
    <n v="6173.1"/>
    <m/>
    <x v="0"/>
    <x v="2"/>
    <n v="6173.1"/>
  </r>
  <r>
    <n v="46"/>
    <s v="RDT2023123606"/>
    <x v="0"/>
    <x v="3"/>
    <x v="4"/>
    <s v="United Kingdom"/>
    <s v="Sri Lanka"/>
    <x v="1"/>
    <s v="Ms Lucy Alexandra Findlay"/>
    <s v="lucyalexandrarubinstein@gmail.com"/>
    <d v="2023-12-09T00:00:00"/>
    <d v="2023-12-11T00:00:00"/>
    <d v="2023-12-23T00:00:00"/>
    <n v="12"/>
    <s v="USD"/>
    <n v="673.54"/>
    <m/>
    <x v="2"/>
    <x v="3"/>
    <n v="673.54"/>
  </r>
  <r>
    <n v="47"/>
    <s v="RDT2023123602"/>
    <x v="0"/>
    <x v="3"/>
    <x v="4"/>
    <s v="United Kingdom"/>
    <s v="Sri Lanka"/>
    <x v="1"/>
    <s v="Ms Rohini Farsuram Contractor"/>
    <s v="rohini.contractor@gmail.com"/>
    <d v="2023-12-08T00:00:00"/>
    <d v="2023-12-11T00:00:00"/>
    <d v="2023-12-22T00:00:00"/>
    <n v="11"/>
    <s v="USD"/>
    <n v="3958.66"/>
    <m/>
    <x v="2"/>
    <x v="3"/>
    <n v="3958.66"/>
  </r>
  <r>
    <n v="48"/>
    <s v="RDT2023123595"/>
    <x v="0"/>
    <x v="0"/>
    <x v="4"/>
    <s v="United Kingdom"/>
    <s v="Sri Lanka"/>
    <x v="1"/>
    <s v="Mr Timothy  Michael Heward James"/>
    <s v="tmhjames@hotmail.com"/>
    <d v="2023-12-06T00:00:00"/>
    <d v="2024-01-22T00:00:00"/>
    <d v="2024-02-02T00:00:00"/>
    <n v="11"/>
    <s v="USD"/>
    <n v="5302.92"/>
    <m/>
    <x v="0"/>
    <x v="2"/>
    <n v="5302.92"/>
  </r>
  <r>
    <n v="49"/>
    <s v="RDT2023123593"/>
    <x v="0"/>
    <x v="0"/>
    <x v="3"/>
    <s v="United Kingdom"/>
    <s v="Sri Lanka"/>
    <x v="1"/>
    <s v="Mrs Joanna Stuttaford"/>
    <s v="jo.stuttaford@btinternet.com"/>
    <d v="2023-12-05T00:00:00"/>
    <d v="2024-02-23T00:00:00"/>
    <d v="2024-03-08T00:00:00"/>
    <n v="14"/>
    <s v="USD"/>
    <n v="5664.98"/>
    <m/>
    <x v="0"/>
    <x v="1"/>
    <n v="5664.98"/>
  </r>
  <r>
    <n v="50"/>
    <s v="RDT2023123592"/>
    <x v="0"/>
    <x v="0"/>
    <x v="3"/>
    <s v="United States of America"/>
    <s v="Sri Lanka"/>
    <x v="0"/>
    <s v="Ms Carol  Welch"/>
    <s v="Welchc317@yahoo.com"/>
    <d v="2023-12-05T00:00:00"/>
    <d v="2023-12-09T00:00:00"/>
    <d v="2023-12-15T00:00:00"/>
    <n v="6"/>
    <s v="USD"/>
    <n v="1349.48"/>
    <m/>
    <x v="2"/>
    <x v="3"/>
    <n v="1349.48"/>
  </r>
  <r>
    <n v="51"/>
    <s v="RDT2023123589"/>
    <x v="0"/>
    <x v="0"/>
    <x v="3"/>
    <s v="United Kingdom"/>
    <s v="Sri Lanka"/>
    <x v="1"/>
    <s v="Mr Philip Butterfield"/>
    <s v="philip.butterfield@spherefluidics.com"/>
    <d v="2023-12-05T00:00:00"/>
    <d v="2024-03-16T00:00:00"/>
    <d v="2024-03-30T00:00:00"/>
    <n v="14"/>
    <s v="USD"/>
    <n v="15297.62"/>
    <m/>
    <x v="0"/>
    <x v="0"/>
    <n v="15297.62"/>
  </r>
  <r>
    <n v="52"/>
    <s v="RDT2023123586"/>
    <x v="0"/>
    <x v="3"/>
    <x v="4"/>
    <s v="United Kingdom"/>
    <s v="Sri Lanka"/>
    <x v="1"/>
    <s v="Ms Frances Elizabeth de Bosdari"/>
    <s v="frances@avalonhouse.co.uk"/>
    <d v="2023-12-01T00:00:00"/>
    <d v="2024-02-09T00:00:00"/>
    <d v="2024-02-15T00:00:00"/>
    <n v="6"/>
    <s v="USD"/>
    <n v="1100.27"/>
    <m/>
    <x v="0"/>
    <x v="1"/>
    <n v="1100.27"/>
  </r>
  <r>
    <n v="53"/>
    <s v="SLIS2023113579"/>
    <x v="1"/>
    <x v="0"/>
    <x v="2"/>
    <s v="Bangladesh"/>
    <s v="Sri Lanka"/>
    <x v="8"/>
    <s v="Mr Najib Chowdhury"/>
    <s v="fkc@paperstudio-bd.com"/>
    <d v="2023-11-30T00:00:00"/>
    <d v="2023-12-08T00:00:00"/>
    <d v="2023-12-12T00:00:00"/>
    <n v="4"/>
    <s v="USD"/>
    <n v="7159.23"/>
    <m/>
    <x v="2"/>
    <x v="3"/>
    <n v="7159.23"/>
  </r>
  <r>
    <n v="54"/>
    <s v="SLIS2023113577"/>
    <x v="1"/>
    <x v="0"/>
    <x v="2"/>
    <s v="United Kingdom"/>
    <s v="Sri Lanka"/>
    <x v="1"/>
    <s v="Mrs Kirsty Johns"/>
    <s v="kirsty.johns88@yahoo.co.uk"/>
    <d v="2023-11-29T00:00:00"/>
    <d v="2024-03-29T00:00:00"/>
    <d v="2024-04-13T00:00:00"/>
    <n v="15"/>
    <s v="GBP"/>
    <n v="22161.47"/>
    <m/>
    <x v="0"/>
    <x v="0"/>
    <n v="22161.47"/>
  </r>
  <r>
    <n v="55"/>
    <s v="RDT2023113571"/>
    <x v="0"/>
    <x v="0"/>
    <x v="3"/>
    <s v="Germany"/>
    <s v="Sri Lanka"/>
    <x v="7"/>
    <s v="Mr Nicolas Hubener"/>
    <s v="Nico.Huebener@huebener-ag.eu"/>
    <d v="2023-11-28T00:00:00"/>
    <d v="2024-01-01T00:00:00"/>
    <d v="2024-01-06T00:00:00"/>
    <n v="5"/>
    <s v="USD"/>
    <n v="2417.14"/>
    <m/>
    <x v="0"/>
    <x v="2"/>
    <n v="2417.14"/>
  </r>
  <r>
    <n v="56"/>
    <s v="RDT2023113570"/>
    <x v="0"/>
    <x v="3"/>
    <x v="3"/>
    <s v="United Kingdom"/>
    <s v="Sri Lanka"/>
    <x v="1"/>
    <s v="Mr Robert  Laing"/>
    <s v="robbie_laing@hotmail.co.uk"/>
    <d v="2023-11-28T00:00:00"/>
    <d v="2023-12-30T00:00:00"/>
    <d v="2024-01-06T00:00:00"/>
    <n v="7"/>
    <s v="USD"/>
    <n v="3024.77"/>
    <m/>
    <x v="2"/>
    <x v="3"/>
    <n v="3024.77"/>
  </r>
  <r>
    <n v="57"/>
    <s v="RDT2023113567"/>
    <x v="0"/>
    <x v="2"/>
    <x v="4"/>
    <s v="United Kingdom"/>
    <s v="Sri Lanka"/>
    <x v="1"/>
    <s v="Mrs Laura  Forbes-Coy"/>
    <s v="laura@forbes-coy.com"/>
    <d v="2023-11-28T00:00:00"/>
    <d v="2023-12-09T00:00:00"/>
    <d v="2023-12-12T00:00:00"/>
    <n v="3"/>
    <s v="USD"/>
    <n v="722"/>
    <m/>
    <x v="2"/>
    <x v="3"/>
    <n v="722"/>
  </r>
  <r>
    <n v="58"/>
    <s v="RDT2023113566"/>
    <x v="0"/>
    <x v="1"/>
    <x v="4"/>
    <s v="Sri Lanka"/>
    <s v="Sri Lanka"/>
    <x v="9"/>
    <s v="Ms Lahiru Kularatne"/>
    <s v="lahiru@reddottours.com"/>
    <d v="2023-11-28T00:00:00"/>
    <d v="2023-11-29T00:00:00"/>
    <d v="2023-11-29T00:00:00"/>
    <n v="0"/>
    <s v="USD"/>
    <n v="68"/>
    <m/>
    <x v="2"/>
    <x v="4"/>
    <n v="68"/>
  </r>
  <r>
    <n v="59"/>
    <s v="RDT2023113564"/>
    <x v="0"/>
    <x v="0"/>
    <x v="3"/>
    <s v="United Kingdom"/>
    <s v="Sri Lanka"/>
    <x v="1"/>
    <s v="Ms Anne Furniss"/>
    <s v="annepfurniss@gmail.com"/>
    <d v="2023-11-28T00:00:00"/>
    <d v="2024-01-31T00:00:00"/>
    <d v="2024-02-22T00:00:00"/>
    <n v="22"/>
    <s v="USD"/>
    <n v="8416.67"/>
    <m/>
    <x v="0"/>
    <x v="2"/>
    <n v="8416.67"/>
  </r>
  <r>
    <n v="60"/>
    <s v="RDT2023113562"/>
    <x v="0"/>
    <x v="3"/>
    <x v="3"/>
    <s v="Singapore"/>
    <s v="Sri Lanka"/>
    <x v="2"/>
    <s v="Mrs Marta Bulnes Diez"/>
    <s v="martabulnesdiez@gmail.com"/>
    <d v="2023-11-28T00:00:00"/>
    <d v="2024-03-01T00:00:00"/>
    <d v="2024-03-09T00:00:00"/>
    <n v="8"/>
    <s v="USD"/>
    <n v="2500.4899999999998"/>
    <m/>
    <x v="0"/>
    <x v="0"/>
    <n v="2500.4899999999998"/>
  </r>
  <r>
    <n v="61"/>
    <s v="SLIS2023113555"/>
    <x v="1"/>
    <x v="0"/>
    <x v="2"/>
    <s v="Netherlands"/>
    <s v="Sri Lanka"/>
    <x v="10"/>
    <s v="Mr Josee Koning"/>
    <s v="josee@joseekoning.com"/>
    <d v="2023-11-24T00:00:00"/>
    <d v="2024-01-06T00:00:00"/>
    <d v="2024-01-18T00:00:00"/>
    <n v="12"/>
    <s v="USD"/>
    <n v="4153.8100000000004"/>
    <m/>
    <x v="0"/>
    <x v="2"/>
    <n v="4153.8100000000004"/>
  </r>
  <r>
    <n v="62"/>
    <s v="RDT2023113554"/>
    <x v="0"/>
    <x v="0"/>
    <x v="4"/>
    <s v="United Kingdom"/>
    <s v="Sri Lanka"/>
    <x v="1"/>
    <s v="Mrs Caroline Sellon"/>
    <s v="carrie.sellon@googlemail.com"/>
    <d v="2023-11-24T00:00:00"/>
    <d v="2023-12-26T00:00:00"/>
    <d v="2024-01-05T00:00:00"/>
    <n v="10"/>
    <s v="USD"/>
    <n v="957"/>
    <m/>
    <x v="2"/>
    <x v="3"/>
    <n v="957"/>
  </r>
  <r>
    <n v="63"/>
    <s v="RDT2023113552"/>
    <x v="0"/>
    <x v="3"/>
    <x v="3"/>
    <s v="Vietnam"/>
    <s v="Sri Lanka"/>
    <x v="11"/>
    <s v="Mrs Erika  Stefani"/>
    <s v="erika@tonkintravel.com"/>
    <d v="2023-11-24T00:00:00"/>
    <d v="2023-12-23T00:00:00"/>
    <d v="2024-01-01T00:00:00"/>
    <n v="9"/>
    <s v="USD"/>
    <n v="2109.4899999999998"/>
    <m/>
    <x v="2"/>
    <x v="3"/>
    <n v="2109.4899999999998"/>
  </r>
  <r>
    <n v="64"/>
    <s v="RDT2023113549"/>
    <x v="0"/>
    <x v="3"/>
    <x v="3"/>
    <s v="India"/>
    <s v="Sri Lanka"/>
    <x v="12"/>
    <s v="Mrs Deepa Sivakumar"/>
    <s v="elricka@gmail.com"/>
    <d v="2023-11-23T00:00:00"/>
    <d v="2023-11-26T00:00:00"/>
    <d v="2023-11-30T00:00:00"/>
    <n v="4"/>
    <s v="USD"/>
    <n v="587.5"/>
    <m/>
    <x v="2"/>
    <x v="4"/>
    <n v="587.5"/>
  </r>
  <r>
    <n v="65"/>
    <s v="RDT2023113544"/>
    <x v="0"/>
    <x v="0"/>
    <x v="0"/>
    <s v="United Kingdom"/>
    <s v="Sri Lanka"/>
    <x v="11"/>
    <s v="Mr Tomaso Cairoli"/>
    <s v="tomasocairoli@gmail.com"/>
    <d v="2023-11-22T00:00:00"/>
    <d v="2023-12-01T00:00:00"/>
    <d v="2023-12-11T00:00:00"/>
    <n v="10"/>
    <s v="USD"/>
    <n v="3898"/>
    <m/>
    <x v="2"/>
    <x v="3"/>
    <n v="3898"/>
  </r>
  <r>
    <n v="66"/>
    <s v="RDT2023113540"/>
    <x v="0"/>
    <x v="3"/>
    <x v="4"/>
    <s v="Australia"/>
    <s v="Sri Lanka"/>
    <x v="2"/>
    <s v="Ms Stacey Clarke"/>
    <s v="stacey@b2cfurniture.com.au,stacey@b2cfurniture.com.au"/>
    <d v="2023-11-21T00:00:00"/>
    <d v="2024-01-20T00:00:00"/>
    <d v="2024-01-29T00:00:00"/>
    <n v="9"/>
    <s v="USD"/>
    <n v="17425"/>
    <m/>
    <x v="0"/>
    <x v="2"/>
    <n v="17425"/>
  </r>
  <r>
    <n v="67"/>
    <s v="RDT2023113535"/>
    <x v="0"/>
    <x v="0"/>
    <x v="3"/>
    <s v="United Kingdom"/>
    <s v="Sri Lanka"/>
    <x v="1"/>
    <s v="Mrs Angela Arnell Smith"/>
    <s v="angelaarnellsmith@gmail.com"/>
    <d v="2023-11-20T00:00:00"/>
    <d v="2024-01-20T00:00:00"/>
    <d v="2024-02-10T00:00:00"/>
    <n v="21"/>
    <s v="USD"/>
    <n v="21558.31"/>
    <m/>
    <x v="0"/>
    <x v="2"/>
    <n v="21558.31"/>
  </r>
  <r>
    <n v="68"/>
    <s v="RDT2023113531"/>
    <x v="0"/>
    <x v="3"/>
    <x v="4"/>
    <s v="India"/>
    <s v="Sri Lanka"/>
    <x v="12"/>
    <s v="Mr Frederick  Roy Kharkongor"/>
    <s v="freddyroy2000@gmail.com"/>
    <d v="2023-11-18T00:00:00"/>
    <d v="2023-12-27T00:00:00"/>
    <d v="2024-01-03T00:00:00"/>
    <n v="7"/>
    <s v="USD"/>
    <n v="6162.1"/>
    <m/>
    <x v="2"/>
    <x v="3"/>
    <n v="6162.1"/>
  </r>
  <r>
    <n v="69"/>
    <s v="RDT2023113529"/>
    <x v="0"/>
    <x v="3"/>
    <x v="4"/>
    <s v="United Kingdom"/>
    <s v="Sri Lanka"/>
    <x v="1"/>
    <s v="Mrs Rachel  Martin"/>
    <s v="bertraq2@gmail.com"/>
    <d v="2023-11-18T00:00:00"/>
    <d v="2024-02-07T00:00:00"/>
    <d v="2024-02-17T00:00:00"/>
    <n v="10"/>
    <s v="USD"/>
    <n v="13799.45"/>
    <m/>
    <x v="0"/>
    <x v="1"/>
    <n v="13799.45"/>
  </r>
  <r>
    <n v="70"/>
    <s v="RDT2023113528"/>
    <x v="0"/>
    <x v="0"/>
    <x v="4"/>
    <s v="Australia"/>
    <s v="Sri Lanka"/>
    <x v="2"/>
    <s v="Mr Ben  Hastings"/>
    <s v="benhastings77@gmail.com"/>
    <d v="2023-11-18T00:00:00"/>
    <d v="2024-01-02T00:00:00"/>
    <d v="2024-01-13T00:00:00"/>
    <n v="11"/>
    <s v="USD"/>
    <n v="3949.07"/>
    <m/>
    <x v="0"/>
    <x v="2"/>
    <n v="3949.07"/>
  </r>
  <r>
    <n v="71"/>
    <s v="RDT2023113527"/>
    <x v="0"/>
    <x v="0"/>
    <x v="3"/>
    <s v="United Kingdom"/>
    <s v="Sri Lanka"/>
    <x v="1"/>
    <s v="Mr IAN  WATTERS"/>
    <s v="Igw_uk@yahoo.co.uk"/>
    <d v="2023-11-18T00:00:00"/>
    <d v="2024-02-07T00:00:00"/>
    <d v="2024-02-23T00:00:00"/>
    <n v="16"/>
    <s v="USD"/>
    <n v="3826.03"/>
    <m/>
    <x v="0"/>
    <x v="1"/>
    <n v="3826.03"/>
  </r>
  <r>
    <n v="72"/>
    <s v="RDT2023113524"/>
    <x v="0"/>
    <x v="0"/>
    <x v="4"/>
    <s v="United States of America"/>
    <s v="Sri Lanka"/>
    <x v="0"/>
    <s v="Ms Gina  Marie Paoloni"/>
    <s v="gina@gpgconceptsllc.com"/>
    <d v="2023-11-17T00:00:00"/>
    <d v="2024-01-01T00:00:00"/>
    <d v="2024-01-09T00:00:00"/>
    <n v="8"/>
    <s v="USD"/>
    <n v="12036.23"/>
    <m/>
    <x v="0"/>
    <x v="2"/>
    <n v="12036.23"/>
  </r>
  <r>
    <n v="73"/>
    <s v="RDT2023113523"/>
    <x v="0"/>
    <x v="1"/>
    <x v="4"/>
    <s v="Sri Lanka"/>
    <s v="Sri Lanka"/>
    <x v="9"/>
    <s v="Ms Lahiru Kularatne"/>
    <s v="lahiru@reddottours.com"/>
    <d v="2023-11-17T00:00:00"/>
    <d v="2023-12-04T00:00:00"/>
    <d v="2023-12-04T00:00:00"/>
    <n v="0"/>
    <s v="USD"/>
    <n v="227.47"/>
    <m/>
    <x v="2"/>
    <x v="3"/>
    <n v="227.47"/>
  </r>
  <r>
    <n v="74"/>
    <s v="RDT2023113522"/>
    <x v="0"/>
    <x v="0"/>
    <x v="4"/>
    <s v="Ireland"/>
    <s v="Sri Lanka"/>
    <x v="13"/>
    <s v="Mrs Susan  Patricia Mosse"/>
    <s v="suemosse@gmail.com"/>
    <d v="2023-11-17T00:00:00"/>
    <d v="2024-02-16T00:00:00"/>
    <d v="2024-03-08T00:00:00"/>
    <n v="21"/>
    <s v="USD"/>
    <n v="5892.02"/>
    <m/>
    <x v="0"/>
    <x v="1"/>
    <n v="5892.02"/>
  </r>
  <r>
    <n v="75"/>
    <s v="RDT2023113518"/>
    <x v="0"/>
    <x v="0"/>
    <x v="3"/>
    <s v="United Kingdom"/>
    <s v="Sri Lanka"/>
    <x v="1"/>
    <s v="Ms Tanya Alvarez"/>
    <s v="tan_812001@yahoo.co.uk"/>
    <d v="2023-11-17T00:00:00"/>
    <d v="2023-12-18T00:00:00"/>
    <d v="2024-01-01T00:00:00"/>
    <n v="14"/>
    <s v="USD"/>
    <n v="1777.52"/>
    <m/>
    <x v="2"/>
    <x v="3"/>
    <n v="1777.52"/>
  </r>
  <r>
    <n v="76"/>
    <s v="RDT2023113512"/>
    <x v="0"/>
    <x v="0"/>
    <x v="3"/>
    <s v="United Kingdom"/>
    <s v="Sri Lanka"/>
    <x v="1"/>
    <s v="Mr Peter Wickham"/>
    <s v="pdwickham@gmail.com"/>
    <d v="2023-11-16T00:00:00"/>
    <d v="2023-12-02T00:00:00"/>
    <d v="2023-12-07T00:00:00"/>
    <n v="5"/>
    <s v="USD"/>
    <n v="510"/>
    <m/>
    <x v="2"/>
    <x v="3"/>
    <n v="510"/>
  </r>
  <r>
    <n v="77"/>
    <s v="RDT2023113511"/>
    <x v="0"/>
    <x v="0"/>
    <x v="3"/>
    <s v="Australia"/>
    <s v="Sri Lanka"/>
    <x v="2"/>
    <s v="Mrs Sharon Louise  McDaid"/>
    <s v="louise.mcdaid20@gmail.com"/>
    <d v="2023-11-16T00:00:00"/>
    <d v="2024-03-18T00:00:00"/>
    <d v="2024-04-08T00:00:00"/>
    <n v="21"/>
    <s v="USD"/>
    <n v="6678.91"/>
    <m/>
    <x v="0"/>
    <x v="0"/>
    <n v="6678.91"/>
  </r>
  <r>
    <n v="78"/>
    <s v="RDT2023113500"/>
    <x v="0"/>
    <x v="0"/>
    <x v="0"/>
    <s v="Australia"/>
    <s v="Sri Lanka"/>
    <x v="1"/>
    <s v="Ms Elizabeth Rupp"/>
    <s v="lizarupp@gmail.com"/>
    <d v="2023-11-14T00:00:00"/>
    <d v="2024-03-23T00:00:00"/>
    <d v="2024-04-05T00:00:00"/>
    <n v="13"/>
    <s v="USD"/>
    <n v="11244.4"/>
    <m/>
    <x v="0"/>
    <x v="0"/>
    <n v="11244.4"/>
  </r>
  <r>
    <n v="79"/>
    <s v="RDT2023113499"/>
    <x v="0"/>
    <x v="0"/>
    <x v="3"/>
    <s v="United Kingdom"/>
    <s v="Sri Lanka"/>
    <x v="1"/>
    <s v="Mrs Anne  Gault"/>
    <s v="aeggault@yahoo.co.uk"/>
    <d v="2023-11-14T00:00:00"/>
    <d v="2024-01-15T00:00:00"/>
    <d v="2024-02-05T00:00:00"/>
    <n v="21"/>
    <s v="USD"/>
    <n v="8761.4"/>
    <m/>
    <x v="0"/>
    <x v="2"/>
    <n v="8761.4"/>
  </r>
  <r>
    <n v="80"/>
    <s v="RDT2023113484"/>
    <x v="0"/>
    <x v="0"/>
    <x v="4"/>
    <s v="United Kingdom"/>
    <s v="Sri Lanka"/>
    <x v="1"/>
    <s v="Mr Richard  Charles Archer Blacker"/>
    <s v="Richard.blacker@btinternet.com"/>
    <d v="2023-11-09T00:00:00"/>
    <d v="2023-12-17T00:00:00"/>
    <d v="2023-12-26T00:00:00"/>
    <n v="9"/>
    <s v="USD"/>
    <n v="32241.78"/>
    <m/>
    <x v="2"/>
    <x v="3"/>
    <n v="32241.78"/>
  </r>
  <r>
    <n v="81"/>
    <s v="RDT2023113470"/>
    <x v="0"/>
    <x v="0"/>
    <x v="0"/>
    <s v="United Kingdom"/>
    <s v="Sri Lanka"/>
    <x v="1"/>
    <s v="Mrs Ann Clegg"/>
    <s v="annclegg21@aol.com"/>
    <d v="2023-11-06T00:00:00"/>
    <d v="2024-02-11T00:00:00"/>
    <d v="2024-02-29T00:00:00"/>
    <n v="18"/>
    <s v="USD"/>
    <n v="8355.84"/>
    <m/>
    <x v="0"/>
    <x v="1"/>
    <n v="8355.84"/>
  </r>
  <r>
    <n v="82"/>
    <s v="SLIS2023113467"/>
    <x v="1"/>
    <x v="0"/>
    <x v="3"/>
    <s v="United States of America"/>
    <s v="Sri Lanka"/>
    <x v="0"/>
    <s v="Mr Robert  Poulson"/>
    <s v="poulson1@yahoo.com"/>
    <d v="2023-11-03T00:00:00"/>
    <d v="2024-01-03T00:00:00"/>
    <d v="2024-01-10T00:00:00"/>
    <n v="7"/>
    <s v="USD"/>
    <n v="1864.68"/>
    <m/>
    <x v="0"/>
    <x v="2"/>
    <n v="1864.68"/>
  </r>
  <r>
    <n v="83"/>
    <s v="RDT2023113466"/>
    <x v="0"/>
    <x v="0"/>
    <x v="4"/>
    <s v="United Kingdom"/>
    <s v="Sri Lanka"/>
    <x v="1"/>
    <s v="Mr Duncan  Vere Green"/>
    <s v="duncanveregreen@gmail.com"/>
    <d v="2023-11-03T00:00:00"/>
    <d v="2024-02-17T00:00:00"/>
    <d v="2024-03-10T00:00:00"/>
    <n v="22"/>
    <s v="USD"/>
    <n v="13096.25"/>
    <m/>
    <x v="0"/>
    <x v="1"/>
    <n v="13096.25"/>
  </r>
  <r>
    <n v="84"/>
    <s v="RDT2023113458"/>
    <x v="0"/>
    <x v="0"/>
    <x v="4"/>
    <s v="France"/>
    <s v="Sri Lanka"/>
    <x v="14"/>
    <s v="Mr Stephen  Alderton"/>
    <s v="stephen.alderton@wanadoo.fr"/>
    <d v="2023-11-01T00:00:00"/>
    <d v="2023-12-28T00:00:00"/>
    <d v="2024-01-19T00:00:00"/>
    <n v="22"/>
    <s v="USD"/>
    <n v="5664.42"/>
    <m/>
    <x v="2"/>
    <x v="3"/>
    <n v="5664.42"/>
  </r>
  <r>
    <n v="85"/>
    <s v="RDT2023103452"/>
    <x v="0"/>
    <x v="0"/>
    <x v="3"/>
    <s v="United Kingdom"/>
    <s v="Sri Lanka"/>
    <x v="1"/>
    <s v="Mr Keir  Bass"/>
    <s v="Keir.bass@gmail.com"/>
    <d v="2023-10-30T00:00:00"/>
    <d v="2024-03-17T00:00:00"/>
    <d v="2024-03-30T00:00:00"/>
    <n v="13"/>
    <s v="USD"/>
    <n v="4035.29"/>
    <m/>
    <x v="0"/>
    <x v="0"/>
    <n v="4035.29"/>
  </r>
  <r>
    <n v="86"/>
    <s v="SLIS2023103450"/>
    <x v="1"/>
    <x v="0"/>
    <x v="4"/>
    <s v="Portugal"/>
    <s v="Sri Lanka"/>
    <x v="15"/>
    <s v="Mrs Jasmine Lazzari"/>
    <s v="jasminexlazzari@gmail.com"/>
    <d v="2023-10-30T00:00:00"/>
    <d v="2023-12-18T00:00:00"/>
    <d v="2024-01-08T00:00:00"/>
    <n v="21"/>
    <s v="USD"/>
    <n v="10664.5"/>
    <m/>
    <x v="2"/>
    <x v="3"/>
    <n v="10664.5"/>
  </r>
  <r>
    <n v="87"/>
    <s v="RDT2023103448"/>
    <x v="0"/>
    <x v="0"/>
    <x v="3"/>
    <s v="Australia"/>
    <s v="Sri Lanka"/>
    <x v="2"/>
    <s v="Mr Dinusha Kularatne"/>
    <s v="dinusha@sent.com"/>
    <d v="2023-10-30T00:00:00"/>
    <d v="2023-11-02T00:00:00"/>
    <d v="2023-11-10T00:00:00"/>
    <n v="8"/>
    <s v="USD"/>
    <n v="552"/>
    <m/>
    <x v="2"/>
    <x v="4"/>
    <n v="552"/>
  </r>
  <r>
    <n v="88"/>
    <s v="RDT2023103447"/>
    <x v="0"/>
    <x v="5"/>
    <x v="3"/>
    <s v="Sri Lanka"/>
    <s v="Sri Lanka"/>
    <x v="9"/>
    <s v="Ms Dulmini Ekanayake"/>
    <s v="dulmini@reddottours.com"/>
    <d v="2023-10-30T00:00:00"/>
    <d v="2023-11-06T00:00:00"/>
    <d v="2023-11-08T00:00:00"/>
    <n v="2"/>
    <s v="USD"/>
    <n v="380"/>
    <m/>
    <x v="2"/>
    <x v="4"/>
    <n v="380"/>
  </r>
  <r>
    <n v="89"/>
    <s v="RDT2023103445"/>
    <x v="0"/>
    <x v="3"/>
    <x v="4"/>
    <s v="United Kingdom"/>
    <s v="Sri Lanka"/>
    <x v="1"/>
    <s v="Mrs Amanda  Jane Inglis"/>
    <s v="amanda.inglis@sky.com"/>
    <d v="2023-10-28T00:00:00"/>
    <d v="2023-11-26T00:00:00"/>
    <d v="2023-12-11T00:00:00"/>
    <n v="15"/>
    <s v="USD"/>
    <n v="7241.61"/>
    <m/>
    <x v="2"/>
    <x v="4"/>
    <n v="7241.61"/>
  </r>
  <r>
    <n v="90"/>
    <s v="RDT2023103433"/>
    <x v="0"/>
    <x v="0"/>
    <x v="0"/>
    <s v="United Kingdom"/>
    <s v="Sri Lanka"/>
    <x v="1"/>
    <s v="Mr Hugh Cocke"/>
    <s v="hdcocke@gmail.com"/>
    <d v="2023-10-24T00:00:00"/>
    <d v="2024-02-01T00:00:00"/>
    <d v="2024-02-16T00:00:00"/>
    <n v="15"/>
    <s v="USD"/>
    <n v="12848.12"/>
    <m/>
    <x v="0"/>
    <x v="1"/>
    <n v="12848.12"/>
  </r>
  <r>
    <n v="91"/>
    <s v="SLIS2023103431"/>
    <x v="1"/>
    <x v="0"/>
    <x v="4"/>
    <s v="Australia"/>
    <s v="Sri Lanka"/>
    <x v="2"/>
    <s v="Ms Marisa Perry"/>
    <s v="Marisa.perry@accenture.com"/>
    <d v="2023-10-23T00:00:00"/>
    <d v="2023-11-22T00:00:00"/>
    <d v="2023-12-05T00:00:00"/>
    <n v="13"/>
    <s v="USD"/>
    <n v="6980.21"/>
    <m/>
    <x v="2"/>
    <x v="4"/>
    <n v="6980.21"/>
  </r>
  <r>
    <n v="92"/>
    <s v="RDT2023103428"/>
    <x v="0"/>
    <x v="0"/>
    <x v="4"/>
    <s v="United Kingdom"/>
    <s v="Sri Lanka"/>
    <x v="1"/>
    <s v="Mr Michael  Feben Smith"/>
    <s v="febensmith@aol.com"/>
    <d v="2023-10-20T00:00:00"/>
    <d v="2024-02-16T00:00:00"/>
    <d v="2024-02-22T00:00:00"/>
    <n v="6"/>
    <s v="USD"/>
    <n v="2728.17"/>
    <m/>
    <x v="0"/>
    <x v="1"/>
    <n v="2728.17"/>
  </r>
  <r>
    <n v="93"/>
    <s v="RDT2023103423"/>
    <x v="0"/>
    <x v="0"/>
    <x v="4"/>
    <s v="United Kingdom"/>
    <s v="Sri Lanka"/>
    <x v="1"/>
    <s v="Mrs Jane Elizabeth Beere"/>
    <s v="jane.beere@btinternet.com,jane.beere@btinternet.com"/>
    <d v="2023-10-20T00:00:00"/>
    <d v="2024-02-17T00:00:00"/>
    <d v="2024-03-01T00:00:00"/>
    <n v="13"/>
    <s v="USD"/>
    <n v="10980.17"/>
    <m/>
    <x v="0"/>
    <x v="1"/>
    <n v="10980.17"/>
  </r>
  <r>
    <n v="94"/>
    <s v="RDT2023103415"/>
    <x v="0"/>
    <x v="0"/>
    <x v="3"/>
    <s v="Mexico"/>
    <s v="Sri Lanka"/>
    <x v="16"/>
    <s v="Mr Ramon SANTOYO"/>
    <s v="rsantoyov@gmail.com"/>
    <d v="2023-10-18T00:00:00"/>
    <d v="2023-10-24T00:00:00"/>
    <d v="2023-10-28T00:00:00"/>
    <n v="4"/>
    <s v="USD"/>
    <n v="549"/>
    <m/>
    <x v="2"/>
    <x v="5"/>
    <n v="549"/>
  </r>
  <r>
    <n v="95"/>
    <s v="SLIS2023103410"/>
    <x v="1"/>
    <x v="0"/>
    <x v="5"/>
    <s v="Denmark"/>
    <s v="Sri Lanka"/>
    <x v="17"/>
    <s v="Mrs Theresa  Mathiesen"/>
    <s v="theresa.mathiesen@gmail.com"/>
    <d v="2023-10-17T00:00:00"/>
    <d v="2023-12-26T00:00:00"/>
    <d v="2024-01-05T00:00:00"/>
    <n v="10"/>
    <s v="USD"/>
    <n v="10305.35"/>
    <m/>
    <x v="2"/>
    <x v="3"/>
    <n v="10305.35"/>
  </r>
  <r>
    <n v="96"/>
    <s v="RDT2023103405"/>
    <x v="0"/>
    <x v="1"/>
    <x v="2"/>
    <s v="United Kingdom"/>
    <s v="Sri Lanka"/>
    <x v="1"/>
    <s v="Mr Michael Castree"/>
    <s v="Mike@castree.online"/>
    <d v="2023-10-16T00:00:00"/>
    <d v="2023-10-07T00:00:00"/>
    <d v="2024-02-19T00:00:00"/>
    <n v="135"/>
    <s v="GBP"/>
    <n v="8891.3700000000008"/>
    <m/>
    <x v="2"/>
    <x v="5"/>
    <n v="8891.3700000000008"/>
  </r>
  <r>
    <n v="97"/>
    <s v="RDT2023103403"/>
    <x v="0"/>
    <x v="2"/>
    <x v="3"/>
    <s v="United Kingdom"/>
    <s v="India"/>
    <x v="1"/>
    <s v="Mr Martin  Thomas"/>
    <s v="thomasmd@btinternet.com"/>
    <d v="2023-10-16T00:00:00"/>
    <d v="2024-02-26T00:00:00"/>
    <d v="2024-02-26T00:00:00"/>
    <n v="0"/>
    <s v="USD"/>
    <n v="14320"/>
    <m/>
    <x v="0"/>
    <x v="1"/>
    <n v="14320"/>
  </r>
  <r>
    <n v="98"/>
    <s v="SLIS2023103397"/>
    <x v="1"/>
    <x v="3"/>
    <x v="0"/>
    <s v="United Kingdom"/>
    <s v="Sri Lanka"/>
    <x v="1"/>
    <s v="Mr Hugh  Apthorp"/>
    <s v="hapthorp@aol.com"/>
    <d v="2023-10-14T00:00:00"/>
    <d v="2024-01-31T00:00:00"/>
    <d v="2024-02-16T00:00:00"/>
    <n v="16"/>
    <s v="USD"/>
    <n v="29820.99"/>
    <m/>
    <x v="0"/>
    <x v="2"/>
    <n v="29820.99"/>
  </r>
  <r>
    <n v="99"/>
    <s v="RDT2023103395"/>
    <x v="0"/>
    <x v="0"/>
    <x v="3"/>
    <s v="United Kingdom"/>
    <s v="Sri Lanka"/>
    <x v="1"/>
    <s v="Mrs Grace Howe"/>
    <s v="gracemyhowe@icloud.com"/>
    <d v="2023-10-13T00:00:00"/>
    <d v="2024-01-28T00:00:00"/>
    <d v="2024-02-12T00:00:00"/>
    <n v="15"/>
    <s v="USD"/>
    <n v="8183.85"/>
    <m/>
    <x v="0"/>
    <x v="2"/>
    <n v="8183.85"/>
  </r>
  <r>
    <n v="100"/>
    <s v="SLIS2023103393"/>
    <x v="1"/>
    <x v="3"/>
    <x v="7"/>
    <s v="United Kingdom"/>
    <s v="Sri Lanka"/>
    <x v="18"/>
    <s v="Ms MARIA DE LAS MERCEDES MAROTO"/>
    <s v="mercedesmaroto84@hotmail.com"/>
    <d v="2023-10-12T00:00:00"/>
    <d v="2023-12-26T00:00:00"/>
    <d v="2024-01-03T00:00:00"/>
    <n v="8"/>
    <s v="USD"/>
    <n v="4450"/>
    <m/>
    <x v="2"/>
    <x v="3"/>
    <n v="4450"/>
  </r>
  <r>
    <n v="101"/>
    <s v="RDT2023103390"/>
    <x v="0"/>
    <x v="2"/>
    <x v="3"/>
    <s v="United Kingdom"/>
    <s v="Sri Lanka"/>
    <x v="1"/>
    <s v="Mr Jonathan  Denny"/>
    <s v="jonathandenny10@gmail.com"/>
    <d v="2023-10-12T00:00:00"/>
    <d v="2024-02-07T00:00:00"/>
    <d v="2024-02-19T00:00:00"/>
    <n v="12"/>
    <s v="USD"/>
    <n v="5049.7299999999996"/>
    <m/>
    <x v="0"/>
    <x v="1"/>
    <n v="5049.7299999999996"/>
  </r>
  <r>
    <n v="102"/>
    <s v="SLIS2023103386"/>
    <x v="1"/>
    <x v="3"/>
    <x v="3"/>
    <s v="United Kingdom"/>
    <s v="Sri Lanka"/>
    <x v="1"/>
    <s v="Mrs Patricia  Hopkins"/>
    <s v="abigail.hopkins@saneihopkins.co.uk"/>
    <d v="2023-10-11T00:00:00"/>
    <d v="2023-12-22T00:00:00"/>
    <d v="2024-01-04T00:00:00"/>
    <n v="13"/>
    <s v="USD"/>
    <n v="64773.27"/>
    <m/>
    <x v="2"/>
    <x v="3"/>
    <n v="64773.27"/>
  </r>
  <r>
    <n v="103"/>
    <s v="RDT2023103385"/>
    <x v="0"/>
    <x v="6"/>
    <x v="4"/>
    <s v="United Kingdom"/>
    <s v="Sri Lanka"/>
    <x v="1"/>
    <s v="Mrs Melinda  Lytle Hamilton Stubbs"/>
    <s v="mstubbs41@gmail.com"/>
    <d v="2023-10-11T00:00:00"/>
    <d v="2023-12-19T00:00:00"/>
    <d v="2024-02-16T00:00:00"/>
    <n v="59"/>
    <s v="USD"/>
    <n v="9916.74"/>
    <m/>
    <x v="2"/>
    <x v="3"/>
    <n v="9916.74"/>
  </r>
  <r>
    <n v="104"/>
    <s v="RDT2023103381"/>
    <x v="0"/>
    <x v="0"/>
    <x v="4"/>
    <s v="United Kingdom"/>
    <s v="Sri Lanka"/>
    <x v="1"/>
    <s v="Mr Mark  Ralph Harold Gardner"/>
    <s v="MGARD757@gmail.com"/>
    <d v="2023-10-10T00:00:00"/>
    <d v="2024-01-17T00:00:00"/>
    <d v="2024-01-31T00:00:00"/>
    <n v="14"/>
    <s v="USD"/>
    <n v="9326.85"/>
    <m/>
    <x v="0"/>
    <x v="2"/>
    <n v="9326.85"/>
  </r>
  <r>
    <n v="105"/>
    <s v="RDT2023103379"/>
    <x v="0"/>
    <x v="0"/>
    <x v="3"/>
    <s v="United Kingdom"/>
    <s v="Sri Lanka"/>
    <x v="1"/>
    <s v="Ms Stephanie Brain"/>
    <s v="bstephanie@tutanota.com"/>
    <d v="2023-10-09T00:00:00"/>
    <d v="2024-01-25T00:00:00"/>
    <d v="2024-02-08T00:00:00"/>
    <n v="14"/>
    <s v="USD"/>
    <n v="18919.91"/>
    <m/>
    <x v="0"/>
    <x v="2"/>
    <n v="18919.91"/>
  </r>
  <r>
    <n v="106"/>
    <s v="SLIS2023103376"/>
    <x v="1"/>
    <x v="4"/>
    <x v="2"/>
    <s v="United States of America"/>
    <s v="Sri Lanka"/>
    <x v="0"/>
    <s v="Mrs Janet Heininger"/>
    <s v="janet.heininger@gmail.com"/>
    <d v="2023-10-09T00:00:00"/>
    <d v="2024-01-20T00:00:00"/>
    <d v="2024-02-11T00:00:00"/>
    <n v="22"/>
    <s v="USD"/>
    <n v="33764.14"/>
    <m/>
    <x v="0"/>
    <x v="2"/>
    <n v="33764.14"/>
  </r>
  <r>
    <n v="107"/>
    <s v="RDT2023103375"/>
    <x v="0"/>
    <x v="0"/>
    <x v="4"/>
    <s v="United Kingdom"/>
    <s v="Sri Lanka"/>
    <x v="1"/>
    <s v="Mr Federico  Montella"/>
    <s v="EDEMONTELLA@GMAIL.COM"/>
    <d v="2023-10-08T00:00:00"/>
    <d v="2023-12-17T00:00:00"/>
    <d v="2023-12-30T00:00:00"/>
    <n v="13"/>
    <s v="USD"/>
    <n v="5783.41"/>
    <m/>
    <x v="2"/>
    <x v="3"/>
    <n v="5783.41"/>
  </r>
  <r>
    <n v="108"/>
    <s v="RDT2023103374"/>
    <x v="0"/>
    <x v="0"/>
    <x v="3"/>
    <s v="United Kingdom"/>
    <s v="Sri Lanka"/>
    <x v="1"/>
    <s v="Mrs Madeleine  Honey"/>
    <s v="madeleinehoney88@gmail.com"/>
    <d v="2023-10-07T00:00:00"/>
    <d v="2023-12-04T00:00:00"/>
    <d v="2023-12-10T00:00:00"/>
    <n v="6"/>
    <s v="USD"/>
    <n v="1668"/>
    <m/>
    <x v="2"/>
    <x v="3"/>
    <n v="1668"/>
  </r>
  <r>
    <n v="109"/>
    <s v="RDT2023103372"/>
    <x v="0"/>
    <x v="0"/>
    <x v="3"/>
    <s v="United Kingdom"/>
    <s v="Sri Lanka"/>
    <x v="1"/>
    <s v="Mr John  Denning"/>
    <s v="Johndenning@msn.com"/>
    <d v="2023-10-07T00:00:00"/>
    <d v="2024-01-22T00:00:00"/>
    <d v="2024-02-02T00:00:00"/>
    <n v="11"/>
    <s v="USD"/>
    <n v="4199.42"/>
    <m/>
    <x v="0"/>
    <x v="2"/>
    <n v="4199.42"/>
  </r>
  <r>
    <n v="110"/>
    <s v="RDT2023103360"/>
    <x v="0"/>
    <x v="0"/>
    <x v="4"/>
    <s v="United Kingdom"/>
    <s v="Sri Lanka"/>
    <x v="1"/>
    <s v="Mr David  Eric Griffith-Jones"/>
    <s v="griffithjones@btinternet.com"/>
    <d v="2023-10-05T00:00:00"/>
    <d v="2024-01-17T00:00:00"/>
    <d v="2024-01-25T00:00:00"/>
    <n v="8"/>
    <s v="USD"/>
    <n v="3068.67"/>
    <m/>
    <x v="0"/>
    <x v="2"/>
    <n v="3068.67"/>
  </r>
  <r>
    <n v="111"/>
    <s v="RDT2023103356"/>
    <x v="0"/>
    <x v="4"/>
    <x v="6"/>
    <s v="United Kingdom"/>
    <s v="Sri Lanka"/>
    <x v="1"/>
    <s v="Mrs Fiona  Jones"/>
    <s v="Fionajones67@outlook.com"/>
    <d v="2023-10-04T00:00:00"/>
    <d v="2024-01-18T00:00:00"/>
    <d v="2024-02-04T00:00:00"/>
    <n v="17"/>
    <s v="USD"/>
    <n v="9478.0400000000009"/>
    <m/>
    <x v="0"/>
    <x v="2"/>
    <n v="9478.0400000000009"/>
  </r>
  <r>
    <n v="112"/>
    <s v="RDT2023103348"/>
    <x v="0"/>
    <x v="0"/>
    <x v="4"/>
    <s v="Australia"/>
    <s v="Sri Lanka"/>
    <x v="2"/>
    <s v="Mr Richard  Peter Wallace"/>
    <s v="rpwallace@gmail.com"/>
    <d v="2023-10-03T00:00:00"/>
    <d v="2023-12-27T00:00:00"/>
    <d v="2024-01-24T00:00:00"/>
    <n v="28"/>
    <s v="USD"/>
    <n v="11801.92"/>
    <m/>
    <x v="2"/>
    <x v="3"/>
    <n v="11801.92"/>
  </r>
  <r>
    <n v="113"/>
    <s v="RDT2023093343"/>
    <x v="0"/>
    <x v="0"/>
    <x v="0"/>
    <s v="United Kingdom"/>
    <s v="Sri Lanka"/>
    <x v="1"/>
    <s v="Mrs Fiona  Perrin"/>
    <s v="fionajperrin@gmail.com"/>
    <d v="2023-09-28T00:00:00"/>
    <d v="2023-12-23T00:00:00"/>
    <d v="2024-01-09T00:00:00"/>
    <n v="17"/>
    <s v="USD"/>
    <n v="15263.04"/>
    <m/>
    <x v="2"/>
    <x v="3"/>
    <n v="15263.04"/>
  </r>
  <r>
    <n v="114"/>
    <s v="RDT2023093338"/>
    <x v="0"/>
    <x v="0"/>
    <x v="3"/>
    <s v="United Kingdom"/>
    <s v="Sri Lanka"/>
    <x v="1"/>
    <s v="Mrs Natalia Prakash"/>
    <s v="nspsian@gmail.com"/>
    <d v="2023-09-27T00:00:00"/>
    <d v="2023-12-19T00:00:00"/>
    <d v="2023-12-28T00:00:00"/>
    <n v="9"/>
    <s v="USD"/>
    <n v="6667.04"/>
    <m/>
    <x v="2"/>
    <x v="3"/>
    <n v="6667.04"/>
  </r>
  <r>
    <n v="115"/>
    <s v="RDT2023093337"/>
    <x v="0"/>
    <x v="6"/>
    <x v="4"/>
    <s v="United Kingdom"/>
    <s v="Sri Lanka"/>
    <x v="1"/>
    <s v="Mrs Georgina  Mary Victoria Stanley"/>
    <s v="georgina@merricot.com"/>
    <d v="2023-09-27T00:00:00"/>
    <d v="2024-02-09T00:00:00"/>
    <d v="2024-02-28T00:00:00"/>
    <n v="19"/>
    <s v="USD"/>
    <n v="25922.49"/>
    <m/>
    <x v="0"/>
    <x v="1"/>
    <n v="25922.49"/>
  </r>
  <r>
    <n v="116"/>
    <s v="SLIS2023093334"/>
    <x v="1"/>
    <x v="0"/>
    <x v="4"/>
    <s v="United States of America"/>
    <s v="Sri Lanka"/>
    <x v="0"/>
    <s v="Mrs Carol  T Kabel"/>
    <s v="ctkabel@gmail.com"/>
    <d v="2023-09-26T00:00:00"/>
    <d v="2024-02-03T00:00:00"/>
    <d v="2024-02-18T00:00:00"/>
    <n v="15"/>
    <s v="USD"/>
    <n v="15214.72"/>
    <m/>
    <x v="0"/>
    <x v="1"/>
    <n v="15214.72"/>
  </r>
  <r>
    <n v="117"/>
    <s v="RDT2023093333"/>
    <x v="0"/>
    <x v="2"/>
    <x v="4"/>
    <s v="United States of America"/>
    <s v="Sri Lanka"/>
    <x v="9"/>
    <s v="Mr Rohan  Seneka Weerasinghe"/>
    <s v="rsweerasi@gmail.com"/>
    <d v="2023-09-26T00:00:00"/>
    <d v="2024-02-20T00:00:00"/>
    <d v="2024-02-23T00:00:00"/>
    <n v="3"/>
    <s v="USD"/>
    <n v="1473.93"/>
    <m/>
    <x v="0"/>
    <x v="1"/>
    <n v="1473.93"/>
  </r>
  <r>
    <n v="118"/>
    <s v="RDT2023093320"/>
    <x v="0"/>
    <x v="0"/>
    <x v="4"/>
    <s v="United States of America"/>
    <s v="Sri Lanka"/>
    <x v="0"/>
    <s v="Ms Elizabeth  Durfee Hengen"/>
    <s v="ehengen@gmail.com"/>
    <d v="2023-09-22T00:00:00"/>
    <d v="2024-02-07T00:00:00"/>
    <d v="2024-02-24T00:00:00"/>
    <n v="17"/>
    <s v="USD"/>
    <n v="6424.94"/>
    <m/>
    <x v="0"/>
    <x v="1"/>
    <n v="6424.94"/>
  </r>
  <r>
    <n v="119"/>
    <s v="RDT2023093317"/>
    <x v="0"/>
    <x v="0"/>
    <x v="3"/>
    <s v="United Kingdom"/>
    <s v="Sri Lanka"/>
    <x v="1"/>
    <s v="Mr Alan  Smith"/>
    <s v="alansmith67@blueyonder.co.uk"/>
    <d v="2023-09-20T00:00:00"/>
    <d v="2023-11-16T00:00:00"/>
    <d v="2023-12-05T00:00:00"/>
    <n v="19"/>
    <s v="USD"/>
    <n v="18215.919999999998"/>
    <m/>
    <x v="2"/>
    <x v="4"/>
    <n v="18215.919999999998"/>
  </r>
  <r>
    <n v="120"/>
    <s v="RDT2023093316"/>
    <x v="0"/>
    <x v="0"/>
    <x v="3"/>
    <s v="United Kingdom"/>
    <s v="Sri Lanka"/>
    <x v="1"/>
    <s v="Mr Peter Dyson"/>
    <s v="pedrobattle@tiscali.co.uk"/>
    <d v="2023-09-20T00:00:00"/>
    <d v="2023-12-26T00:00:00"/>
    <d v="2024-01-23T00:00:00"/>
    <n v="28"/>
    <s v="USD"/>
    <n v="5994.9"/>
    <m/>
    <x v="2"/>
    <x v="3"/>
    <n v="5994.9"/>
  </r>
  <r>
    <n v="121"/>
    <s v="RDT2023093306"/>
    <x v="0"/>
    <x v="0"/>
    <x v="6"/>
    <s v="United Kingdom"/>
    <s v="Sri Lanka"/>
    <x v="1"/>
    <s v="Mrs Sarah  Ritchie"/>
    <s v="sarahritchie01@gmail.com"/>
    <d v="2023-09-15T00:00:00"/>
    <d v="2023-12-23T00:00:00"/>
    <d v="2024-01-06T00:00:00"/>
    <n v="14"/>
    <s v="USD"/>
    <n v="22670.77"/>
    <m/>
    <x v="2"/>
    <x v="3"/>
    <n v="22670.77"/>
  </r>
  <r>
    <n v="122"/>
    <s v="RDT2023093304"/>
    <x v="0"/>
    <x v="0"/>
    <x v="0"/>
    <s v="France"/>
    <s v="Sri Lanka"/>
    <x v="1"/>
    <s v="Mrs Jacqueline  Wallace-Jones"/>
    <s v="wallacejones@escapetogascony.com"/>
    <d v="2023-09-15T00:00:00"/>
    <d v="2024-01-30T00:00:00"/>
    <d v="2024-02-06T00:00:00"/>
    <n v="7"/>
    <s v="USD"/>
    <n v="3140"/>
    <m/>
    <x v="0"/>
    <x v="2"/>
    <n v="3140"/>
  </r>
  <r>
    <n v="123"/>
    <s v="RDT2023093300"/>
    <x v="0"/>
    <x v="0"/>
    <x v="3"/>
    <s v="United Kingdom"/>
    <s v="Sri Lanka"/>
    <x v="1"/>
    <s v="Mr Anthony  Phillips"/>
    <s v="anthony@anthonyphillipscp.com"/>
    <d v="2023-09-14T00:00:00"/>
    <d v="2024-02-19T00:00:00"/>
    <d v="2024-03-25T00:00:00"/>
    <n v="35"/>
    <s v="USD"/>
    <n v="13137.21"/>
    <m/>
    <x v="0"/>
    <x v="1"/>
    <n v="13137.21"/>
  </r>
  <r>
    <n v="124"/>
    <s v="SLIS2023093293"/>
    <x v="1"/>
    <x v="0"/>
    <x v="0"/>
    <s v="United Kingdom"/>
    <s v="Sri Lanka"/>
    <x v="1"/>
    <s v="Mrs Alice  Garnett"/>
    <s v="alice.garnett@btinternet.com"/>
    <d v="2023-09-13T00:00:00"/>
    <d v="2023-12-23T00:00:00"/>
    <d v="2023-12-29T00:00:00"/>
    <n v="6"/>
    <s v="USD"/>
    <n v="6337.02"/>
    <m/>
    <x v="2"/>
    <x v="3"/>
    <n v="6337.02"/>
  </r>
  <r>
    <n v="125"/>
    <s v="RDT2023093291"/>
    <x v="0"/>
    <x v="0"/>
    <x v="4"/>
    <s v="Mexico"/>
    <s v="Sri Lanka"/>
    <x v="7"/>
    <s v="Mr Thomas  Wagner"/>
    <s v="wagner@wmp.mx"/>
    <d v="2023-09-13T00:00:00"/>
    <d v="2023-12-29T00:00:00"/>
    <d v="2024-01-07T00:00:00"/>
    <n v="9"/>
    <s v="USD"/>
    <n v="6455.16"/>
    <m/>
    <x v="2"/>
    <x v="3"/>
    <n v="6455.16"/>
  </r>
  <r>
    <n v="126"/>
    <s v="RDT2023093289"/>
    <x v="0"/>
    <x v="0"/>
    <x v="3"/>
    <s v="Sri Lanka"/>
    <s v="India"/>
    <x v="9"/>
    <s v="Mr Janaka Devasurendra"/>
    <s v="janaka@keminexports.com"/>
    <d v="2023-09-12T00:00:00"/>
    <d v="2023-09-15T00:00:00"/>
    <d v="2023-09-15T00:00:00"/>
    <n v="0"/>
    <s v="USD"/>
    <n v="1692"/>
    <m/>
    <x v="2"/>
    <x v="6"/>
    <n v="1692"/>
  </r>
  <r>
    <n v="127"/>
    <s v="RDT2023093287"/>
    <x v="0"/>
    <x v="0"/>
    <x v="0"/>
    <s v="Australia"/>
    <s v="Sri Lanka"/>
    <x v="0"/>
    <s v="Ms Katherine  Sheets"/>
    <s v="Blair.sheets@gmail.com"/>
    <d v="2023-09-11T00:00:00"/>
    <d v="2024-03-01T00:00:00"/>
    <d v="2024-03-11T00:00:00"/>
    <n v="10"/>
    <s v="USD"/>
    <n v="5000"/>
    <m/>
    <x v="0"/>
    <x v="0"/>
    <n v="5000"/>
  </r>
  <r>
    <n v="128"/>
    <s v="RDT2023093286"/>
    <x v="0"/>
    <x v="0"/>
    <x v="1"/>
    <s v="United Kingdom"/>
    <s v="Sri Lanka"/>
    <x v="1"/>
    <s v="Mr Ari Shainfeld"/>
    <s v="solomonsyael@gmail.com"/>
    <d v="2023-09-11T00:00:00"/>
    <d v="2023-09-27T00:00:00"/>
    <d v="2023-10-10T00:00:00"/>
    <n v="13"/>
    <s v="USD"/>
    <n v="3022.24"/>
    <m/>
    <x v="2"/>
    <x v="6"/>
    <n v="3022.24"/>
  </r>
  <r>
    <n v="129"/>
    <s v="RDT2023093284"/>
    <x v="0"/>
    <x v="0"/>
    <x v="2"/>
    <s v="United Kingdom"/>
    <s v="Sri Lanka"/>
    <x v="1"/>
    <s v="Mrs Alison Grime"/>
    <s v="alisong71@live.co.uk"/>
    <d v="2023-09-08T00:00:00"/>
    <d v="2023-12-23T00:00:00"/>
    <d v="2024-01-09T00:00:00"/>
    <n v="17"/>
    <s v="GBP"/>
    <n v="8366.66"/>
    <m/>
    <x v="2"/>
    <x v="3"/>
    <n v="8366.66"/>
  </r>
  <r>
    <n v="130"/>
    <s v="RDT2023093282"/>
    <x v="0"/>
    <x v="0"/>
    <x v="3"/>
    <s v="United States of America"/>
    <s v="Sri Lanka"/>
    <x v="0"/>
    <s v="Mrs Jeannine   Coyne"/>
    <s v="Jeanninemcoyne@outlook.com"/>
    <d v="2023-09-08T00:00:00"/>
    <d v="2023-12-31T00:00:00"/>
    <d v="2024-01-09T00:00:00"/>
    <n v="9"/>
    <s v="USD"/>
    <n v="2532.41"/>
    <m/>
    <x v="2"/>
    <x v="3"/>
    <n v="2532.41"/>
  </r>
  <r>
    <n v="131"/>
    <s v="RDT2023093280"/>
    <x v="0"/>
    <x v="3"/>
    <x v="4"/>
    <s v="Australia"/>
    <s v="Sri Lanka"/>
    <x v="2"/>
    <s v="Ms Shirlene  Elizabeth Ollington"/>
    <s v="shirlene_63@hotmail.com"/>
    <d v="2023-09-07T00:00:00"/>
    <d v="2024-03-27T00:00:00"/>
    <d v="2024-04-20T00:00:00"/>
    <n v="24"/>
    <s v="USD"/>
    <n v="6932"/>
    <m/>
    <x v="0"/>
    <x v="0"/>
    <n v="6932"/>
  </r>
  <r>
    <n v="132"/>
    <s v="RDT2023093271"/>
    <x v="0"/>
    <x v="6"/>
    <x v="4"/>
    <s v="United Kingdom"/>
    <s v="Sri Lanka"/>
    <x v="1"/>
    <s v="Mrs Sylvia Alison Klays"/>
    <s v="vjklays@gmail.com"/>
    <d v="2023-09-04T00:00:00"/>
    <d v="2023-11-22T00:00:00"/>
    <d v="2023-12-07T00:00:00"/>
    <n v="15"/>
    <s v="USD"/>
    <n v="5141.68"/>
    <m/>
    <x v="2"/>
    <x v="4"/>
    <n v="5141.68"/>
  </r>
  <r>
    <n v="133"/>
    <s v="RDT2023093268"/>
    <x v="0"/>
    <x v="0"/>
    <x v="4"/>
    <s v="United Kingdom"/>
    <s v="Sri Lanka"/>
    <x v="1"/>
    <s v="Mr John   Joseph Bennett"/>
    <s v="jbennettinbox@hotmail.com,jbennettinbox@hotmail.com"/>
    <d v="2023-09-03T00:00:00"/>
    <d v="2023-11-20T00:00:00"/>
    <d v="2023-11-27T00:00:00"/>
    <n v="7"/>
    <s v="USD"/>
    <n v="3395.29"/>
    <m/>
    <x v="2"/>
    <x v="4"/>
    <n v="3395.29"/>
  </r>
  <r>
    <n v="134"/>
    <s v="SLIS2023093263"/>
    <x v="1"/>
    <x v="3"/>
    <x v="0"/>
    <s v="Finland"/>
    <s v="Sri Lanka"/>
    <x v="10"/>
    <s v="Mr Henrik Chapelle"/>
    <s v="henrik.dlc@kolumbus.fi"/>
    <d v="2023-09-01T00:00:00"/>
    <d v="2023-11-07T00:00:00"/>
    <d v="2023-11-30T00:00:00"/>
    <n v="23"/>
    <s v="USD"/>
    <n v="9586"/>
    <m/>
    <x v="2"/>
    <x v="4"/>
    <n v="9586"/>
  </r>
  <r>
    <n v="135"/>
    <s v="RDT2023083256"/>
    <x v="0"/>
    <x v="0"/>
    <x v="4"/>
    <s v="United Kingdom"/>
    <s v="Sri Lanka"/>
    <x v="1"/>
    <s v="Mr Harold  John Shirley"/>
    <s v="harryjs88@gmail.com"/>
    <d v="2023-08-29T00:00:00"/>
    <d v="2024-03-19T00:00:00"/>
    <d v="2024-04-02T00:00:00"/>
    <n v="14"/>
    <s v="USD"/>
    <n v="7363.65"/>
    <m/>
    <x v="0"/>
    <x v="0"/>
    <n v="7363.65"/>
  </r>
  <r>
    <n v="136"/>
    <s v="RDT2023083248"/>
    <x v="0"/>
    <x v="0"/>
    <x v="4"/>
    <s v="United Kingdom"/>
    <s v="Sri Lanka"/>
    <x v="1"/>
    <s v="Ms Shannon  Rainey"/>
    <s v="shannonrainey@hotmail.co.uk"/>
    <d v="2023-08-25T00:00:00"/>
    <d v="2023-12-29T00:00:00"/>
    <d v="2024-01-08T00:00:00"/>
    <n v="10"/>
    <s v="USD"/>
    <n v="6073.5"/>
    <m/>
    <x v="2"/>
    <x v="3"/>
    <n v="6073.5"/>
  </r>
  <r>
    <n v="137"/>
    <s v="RDT2023083243"/>
    <x v="0"/>
    <x v="1"/>
    <x v="4"/>
    <s v="Sri Lanka"/>
    <s v="Sri Lanka"/>
    <x v="9"/>
    <s v="Ms Lahiru Kularatne"/>
    <s v="lahiru@reddottours.com"/>
    <d v="2023-08-23T00:00:00"/>
    <d v="2023-09-15T00:00:00"/>
    <d v="2023-09-17T00:00:00"/>
    <n v="2"/>
    <s v="USD"/>
    <n v="414.82"/>
    <m/>
    <x v="2"/>
    <x v="6"/>
    <n v="414.82"/>
  </r>
  <r>
    <n v="138"/>
    <s v="RDT2023083242"/>
    <x v="0"/>
    <x v="0"/>
    <x v="3"/>
    <s v="United Kingdom"/>
    <s v="Sri Lanka"/>
    <x v="1"/>
    <s v="Ms Catherine  Pritchard"/>
    <s v="catherine.pritchard@hotmail.com"/>
    <d v="2023-08-22T00:00:00"/>
    <d v="2024-01-21T00:00:00"/>
    <d v="2024-02-08T00:00:00"/>
    <n v="18"/>
    <s v="USD"/>
    <n v="4859.42"/>
    <m/>
    <x v="0"/>
    <x v="2"/>
    <n v="4859.42"/>
  </r>
  <r>
    <n v="139"/>
    <s v="RDT2023083240"/>
    <x v="0"/>
    <x v="0"/>
    <x v="3"/>
    <s v="United Kingdom"/>
    <s v="Sri Lanka"/>
    <x v="1"/>
    <s v="Mr Alejandro  Gaona"/>
    <s v="alex.j.gaona@gmail.com"/>
    <d v="2023-08-21T00:00:00"/>
    <d v="2023-09-09T00:00:00"/>
    <d v="2023-09-14T00:00:00"/>
    <n v="5"/>
    <s v="USD"/>
    <n v="1886.09"/>
    <m/>
    <x v="2"/>
    <x v="6"/>
    <n v="1886.09"/>
  </r>
  <r>
    <n v="140"/>
    <s v="RDT2023083239"/>
    <x v="0"/>
    <x v="0"/>
    <x v="3"/>
    <s v="United Kingdom"/>
    <s v="Sri Lanka"/>
    <x v="1"/>
    <s v="Mr Andrew Court"/>
    <s v="andrewcourt16@gmail.com"/>
    <d v="2023-08-19T00:00:00"/>
    <d v="2023-10-27T00:00:00"/>
    <d v="2023-11-11T00:00:00"/>
    <n v="15"/>
    <s v="USD"/>
    <n v="6466"/>
    <m/>
    <x v="2"/>
    <x v="5"/>
    <n v="6466"/>
  </r>
  <r>
    <n v="141"/>
    <s v="RDT2023083238"/>
    <x v="0"/>
    <x v="0"/>
    <x v="3"/>
    <s v="United Kingdom"/>
    <s v="Sri Lanka"/>
    <x v="1"/>
    <s v="Mr Rohit Jain"/>
    <s v="rojain80@hotmail.com"/>
    <d v="2023-08-19T00:00:00"/>
    <d v="2023-12-13T00:00:00"/>
    <d v="2023-12-29T00:00:00"/>
    <n v="16"/>
    <s v="USD"/>
    <n v="13645.2"/>
    <m/>
    <x v="2"/>
    <x v="3"/>
    <n v="13645.2"/>
  </r>
  <r>
    <n v="142"/>
    <s v="RDT2023083233"/>
    <x v="0"/>
    <x v="3"/>
    <x v="4"/>
    <s v="United Kingdom"/>
    <s v="Sri Lanka"/>
    <x v="1"/>
    <s v="Mr Philip  Lius Ralli"/>
    <s v="phil.ralli@hotmail.com"/>
    <d v="2023-08-18T00:00:00"/>
    <d v="2024-01-15T00:00:00"/>
    <d v="2024-02-04T00:00:00"/>
    <n v="20"/>
    <s v="USD"/>
    <n v="5577.03"/>
    <m/>
    <x v="0"/>
    <x v="2"/>
    <n v="5577.03"/>
  </r>
  <r>
    <n v="143"/>
    <s v="RDT2023083232"/>
    <x v="0"/>
    <x v="3"/>
    <x v="4"/>
    <s v="United Kingdom"/>
    <s v="Sri Lanka"/>
    <x v="1"/>
    <s v="Mrs Johanna Mary  Morrissey"/>
    <s v="jojomorrissey1@gmail.com"/>
    <d v="2023-08-18T00:00:00"/>
    <d v="2024-02-17T00:00:00"/>
    <d v="2024-03-03T00:00:00"/>
    <n v="15"/>
    <s v="USD"/>
    <n v="17514.5"/>
    <m/>
    <x v="0"/>
    <x v="1"/>
    <n v="17514.5"/>
  </r>
  <r>
    <n v="144"/>
    <s v="RDT2023083228"/>
    <x v="0"/>
    <x v="0"/>
    <x v="3"/>
    <s v="United States of America"/>
    <s v="Sri Lanka"/>
    <x v="0"/>
    <s v="Ms Vanessa  Ibsch"/>
    <s v="vibsch@msn.com"/>
    <d v="2023-08-17T00:00:00"/>
    <d v="2024-01-14T00:00:00"/>
    <d v="2024-01-23T00:00:00"/>
    <n v="9"/>
    <s v="USD"/>
    <n v="4249.6499999999996"/>
    <m/>
    <x v="0"/>
    <x v="2"/>
    <n v="4249.6499999999996"/>
  </r>
  <r>
    <n v="145"/>
    <s v="RDT2023083222"/>
    <x v="0"/>
    <x v="0"/>
    <x v="3"/>
    <s v="United Kingdom"/>
    <s v="Sri Lanka"/>
    <x v="1"/>
    <s v="Ms Jacqueline  Britto"/>
    <s v="Britto.jec@gmail.com"/>
    <d v="2023-08-14T00:00:00"/>
    <d v="2023-12-02T00:00:00"/>
    <d v="2023-12-10T00:00:00"/>
    <n v="8"/>
    <s v="USD"/>
    <n v="2331.88"/>
    <m/>
    <x v="2"/>
    <x v="3"/>
    <n v="2331.88"/>
  </r>
  <r>
    <n v="146"/>
    <s v="RDT2023083216"/>
    <x v="0"/>
    <x v="0"/>
    <x v="3"/>
    <s v="Australia"/>
    <s v="Sri Lanka"/>
    <x v="2"/>
    <s v="Ms Anjalie Tilakaratne"/>
    <m/>
    <d v="2023-08-13T00:00:00"/>
    <d v="2023-09-14T00:00:00"/>
    <d v="2023-09-27T00:00:00"/>
    <n v="13"/>
    <s v="USD"/>
    <n v="1014"/>
    <m/>
    <x v="2"/>
    <x v="6"/>
    <n v="1014"/>
  </r>
  <r>
    <n v="147"/>
    <s v="RDT2023083215"/>
    <x v="0"/>
    <x v="6"/>
    <x v="4"/>
    <s v="United Kingdom"/>
    <s v="Sri Lanka"/>
    <x v="1"/>
    <s v="Mrs Elizabeth  Hockney"/>
    <s v="elizabeth@hockney.me.uk"/>
    <d v="2023-08-12T00:00:00"/>
    <d v="2024-01-26T00:00:00"/>
    <d v="2024-02-10T00:00:00"/>
    <n v="15"/>
    <s v="USD"/>
    <n v="19225.150000000001"/>
    <m/>
    <x v="0"/>
    <x v="2"/>
    <n v="19225.150000000001"/>
  </r>
  <r>
    <n v="148"/>
    <s v="RDT2023083214"/>
    <x v="0"/>
    <x v="6"/>
    <x v="4"/>
    <s v="United Kingdom"/>
    <s v="Sri Lanka"/>
    <x v="1"/>
    <s v="Mrs  Clare  Elizabeth Travers"/>
    <s v="claretravers56@btinternet.com"/>
    <d v="2023-08-12T00:00:00"/>
    <d v="2024-01-08T00:00:00"/>
    <d v="2024-01-24T00:00:00"/>
    <n v="16"/>
    <s v="USD"/>
    <n v="5528.05"/>
    <m/>
    <x v="0"/>
    <x v="2"/>
    <n v="5528.05"/>
  </r>
  <r>
    <n v="149"/>
    <s v="RDT2023083207"/>
    <x v="0"/>
    <x v="2"/>
    <x v="4"/>
    <s v="Australia"/>
    <s v="Sri Lanka"/>
    <x v="2"/>
    <s v="Mr Peter  Edwin Kindred"/>
    <s v="peter.kindred@bigpond.com"/>
    <d v="2023-08-11T00:00:00"/>
    <d v="2024-01-15T00:00:00"/>
    <d v="2024-01-27T00:00:00"/>
    <n v="12"/>
    <s v="USD"/>
    <n v="3869.33"/>
    <m/>
    <x v="0"/>
    <x v="2"/>
    <n v="3869.33"/>
  </r>
  <r>
    <n v="150"/>
    <s v="SLIS2023083206"/>
    <x v="1"/>
    <x v="4"/>
    <x v="2"/>
    <s v="Canada"/>
    <s v="Sri Lanka"/>
    <x v="5"/>
    <s v="Mrs Pamela Baltman"/>
    <s v="pam@tealake.com"/>
    <d v="2023-08-10T00:00:00"/>
    <d v="2023-12-25T00:00:00"/>
    <d v="2024-01-11T00:00:00"/>
    <n v="17"/>
    <s v="USD"/>
    <n v="18574.240000000002"/>
    <m/>
    <x v="2"/>
    <x v="3"/>
    <n v="18574.240000000002"/>
  </r>
  <r>
    <n v="151"/>
    <s v="RDT2023083203"/>
    <x v="0"/>
    <x v="2"/>
    <x v="4"/>
    <s v="Portugal"/>
    <s v="Sri Lanka"/>
    <x v="1"/>
    <s v="Mrs Rachel  Richards"/>
    <s v="racherichards@btinternet.com"/>
    <d v="2023-08-09T00:00:00"/>
    <d v="2024-03-24T00:00:00"/>
    <d v="2024-04-06T00:00:00"/>
    <n v="13"/>
    <s v="USD"/>
    <n v="4110.18"/>
    <m/>
    <x v="0"/>
    <x v="0"/>
    <n v="4110.18"/>
  </r>
  <r>
    <n v="152"/>
    <s v="RDT2023083201"/>
    <x v="0"/>
    <x v="3"/>
    <x v="4"/>
    <s v="Sri Lanka"/>
    <s v="Sri Lanka"/>
    <x v="1"/>
    <s v="Mr Bruce  Davies"/>
    <s v="lahiru@reddottours.com"/>
    <d v="2023-08-08T00:00:00"/>
    <d v="2023-08-12T00:00:00"/>
    <d v="2023-08-13T00:00:00"/>
    <n v="1"/>
    <s v="USD"/>
    <n v="427.58"/>
    <m/>
    <x v="2"/>
    <x v="7"/>
    <n v="427.58"/>
  </r>
  <r>
    <n v="153"/>
    <s v="RDT2023083199"/>
    <x v="0"/>
    <x v="5"/>
    <x v="4"/>
    <s v="India"/>
    <s v="Sri Lanka"/>
    <x v="12"/>
    <s v="Mr Rajiv Chopra"/>
    <s v="tourmastersindia@gmail.com"/>
    <d v="2023-08-08T00:00:00"/>
    <d v="2023-08-09T00:00:00"/>
    <d v="2023-08-10T00:00:00"/>
    <n v="1"/>
    <s v="USD"/>
    <n v="156"/>
    <m/>
    <x v="2"/>
    <x v="7"/>
    <n v="156"/>
  </r>
  <r>
    <n v="154"/>
    <s v="RDT2023083196"/>
    <x v="0"/>
    <x v="0"/>
    <x v="4"/>
    <s v="United Kingdom"/>
    <s v="Sri Lanka"/>
    <x v="1"/>
    <s v="Mrs Carole  Cummings"/>
    <s v="carolecummings12@gmail.com,carolecummings12@gmail.com"/>
    <d v="2023-08-07T00:00:00"/>
    <d v="2023-11-21T00:00:00"/>
    <d v="2023-12-04T00:00:00"/>
    <n v="13"/>
    <s v="USD"/>
    <n v="3777.31"/>
    <m/>
    <x v="2"/>
    <x v="4"/>
    <n v="3777.31"/>
  </r>
  <r>
    <n v="155"/>
    <s v="SLIS2023083194"/>
    <x v="1"/>
    <x v="2"/>
    <x v="0"/>
    <s v="France"/>
    <s v="Sri Lanka"/>
    <x v="14"/>
    <s v="Mrs Mutin Mutin"/>
    <s v="jmutin@gmail.com"/>
    <d v="2023-08-06T00:00:00"/>
    <d v="2023-08-04T00:00:00"/>
    <d v="2023-08-04T00:00:00"/>
    <n v="0"/>
    <s v="USD"/>
    <n v="783"/>
    <m/>
    <x v="2"/>
    <x v="7"/>
    <n v="783"/>
  </r>
  <r>
    <n v="156"/>
    <s v="RDT2023083188"/>
    <x v="0"/>
    <x v="0"/>
    <x v="3"/>
    <s v="United Kingdom"/>
    <s v="Sri Lanka"/>
    <x v="1"/>
    <s v="Mr Jonathan  Booth"/>
    <s v="jonathan.booth385@gmail.com"/>
    <d v="2023-08-02T00:00:00"/>
    <d v="2024-01-22T00:00:00"/>
    <d v="2024-02-11T00:00:00"/>
    <n v="20"/>
    <s v="USD"/>
    <n v="15770.6"/>
    <m/>
    <x v="0"/>
    <x v="2"/>
    <n v="15770.6"/>
  </r>
  <r>
    <n v="157"/>
    <s v="SLIS2023083186"/>
    <x v="1"/>
    <x v="0"/>
    <x v="2"/>
    <s v="Australia"/>
    <s v="Sri Lanka"/>
    <x v="2"/>
    <s v="Mrs Stephanie Shephard"/>
    <s v="swshephard@gmail.com"/>
    <d v="2023-08-02T00:00:00"/>
    <d v="2023-11-17T00:00:00"/>
    <d v="2023-12-02T00:00:00"/>
    <n v="15"/>
    <s v="USD"/>
    <n v="10529.98"/>
    <m/>
    <x v="2"/>
    <x v="4"/>
    <n v="10529.98"/>
  </r>
  <r>
    <n v="158"/>
    <s v="RDT2023073182"/>
    <x v="0"/>
    <x v="3"/>
    <x v="4"/>
    <s v="Australia"/>
    <s v="Sri Lanka"/>
    <x v="2"/>
    <s v="Ms Delvene  Dianne Neilson"/>
    <s v="Delvene.neilson@gmail.com"/>
    <d v="2023-07-30T00:00:00"/>
    <d v="2023-12-16T00:00:00"/>
    <d v="2024-01-07T00:00:00"/>
    <n v="22"/>
    <s v="USD"/>
    <n v="7371.33"/>
    <m/>
    <x v="2"/>
    <x v="3"/>
    <n v="7371.33"/>
  </r>
  <r>
    <n v="159"/>
    <s v="RDT2023073173"/>
    <x v="0"/>
    <x v="0"/>
    <x v="4"/>
    <s v="United Kingdom"/>
    <s v="Sri Lanka"/>
    <x v="1"/>
    <s v="Ms Hannah  Anne Williams"/>
    <s v="hwilliams88@hotmail.co.uk"/>
    <d v="2023-07-28T00:00:00"/>
    <d v="2023-11-09T00:00:00"/>
    <d v="2023-11-25T00:00:00"/>
    <n v="16"/>
    <s v="USD"/>
    <n v="6468.77"/>
    <m/>
    <x v="2"/>
    <x v="4"/>
    <n v="6468.77"/>
  </r>
  <r>
    <n v="160"/>
    <s v="RDT2023073165"/>
    <x v="0"/>
    <x v="0"/>
    <x v="0"/>
    <s v="Australia"/>
    <s v="Sri Lanka"/>
    <x v="2"/>
    <s v="Mrs Logeswary  Devendran"/>
    <s v="Nipun.desilva@outlook.com"/>
    <d v="2023-07-26T00:00:00"/>
    <d v="2023-08-09T00:00:00"/>
    <d v="2023-08-21T00:00:00"/>
    <n v="12"/>
    <s v="USD"/>
    <n v="2678.01"/>
    <m/>
    <x v="2"/>
    <x v="7"/>
    <n v="2678.01"/>
  </r>
  <r>
    <n v="161"/>
    <s v="RDT2023073164"/>
    <x v="0"/>
    <x v="0"/>
    <x v="3"/>
    <s v="United Kingdom"/>
    <s v="Sri Lanka"/>
    <x v="1"/>
    <s v="Ms Janice  Ashdown"/>
    <s v="janice.ashdown@icloud.com"/>
    <d v="2023-07-26T00:00:00"/>
    <d v="2024-01-28T00:00:00"/>
    <d v="2024-02-11T00:00:00"/>
    <n v="14"/>
    <s v="USD"/>
    <n v="8108.61"/>
    <m/>
    <x v="0"/>
    <x v="2"/>
    <n v="8108.61"/>
  </r>
  <r>
    <n v="162"/>
    <s v="RDT2023073163"/>
    <x v="0"/>
    <x v="0"/>
    <x v="4"/>
    <s v="Australia"/>
    <s v="Sri Lanka"/>
    <x v="2"/>
    <s v="Mrs Joanne Pavendranathan"/>
    <s v="jolchambers@yahoo.com.au"/>
    <d v="2023-07-26T00:00:00"/>
    <d v="2023-12-16T00:00:00"/>
    <d v="2024-01-08T00:00:00"/>
    <n v="23"/>
    <s v="USD"/>
    <n v="9096.7000000000007"/>
    <m/>
    <x v="2"/>
    <x v="3"/>
    <n v="9096.7000000000007"/>
  </r>
  <r>
    <n v="163"/>
    <s v="RDT2023073162"/>
    <x v="0"/>
    <x v="0"/>
    <x v="3"/>
    <s v="United Kingdom"/>
    <s v="Sri Lanka"/>
    <x v="1"/>
    <s v="Mr Philip Timothy  Gault"/>
    <s v="philgault64@gmail.com"/>
    <d v="2023-07-26T00:00:00"/>
    <d v="2023-12-29T00:00:00"/>
    <d v="2024-01-12T00:00:00"/>
    <n v="14"/>
    <s v="USD"/>
    <n v="6128.38"/>
    <m/>
    <x v="2"/>
    <x v="3"/>
    <n v="6128.38"/>
  </r>
  <r>
    <n v="164"/>
    <s v="RDT2023073161"/>
    <x v="0"/>
    <x v="3"/>
    <x v="4"/>
    <s v="United Kingdom"/>
    <s v="Sri Lanka"/>
    <x v="1"/>
    <s v="Ms Karishma  Issrani"/>
    <s v="karishma.israni@gmail.com"/>
    <d v="2023-07-26T00:00:00"/>
    <d v="2023-08-17T00:00:00"/>
    <d v="2023-08-24T00:00:00"/>
    <n v="7"/>
    <s v="USD"/>
    <n v="5602.4"/>
    <m/>
    <x v="2"/>
    <x v="7"/>
    <n v="5602.4"/>
  </r>
  <r>
    <n v="165"/>
    <s v="RDT2023073151"/>
    <x v="0"/>
    <x v="3"/>
    <x v="4"/>
    <s v="United Kingdom"/>
    <s v="Sri Lanka"/>
    <x v="1"/>
    <s v="Mr Daniel  Messer"/>
    <s v="info@playmotion.co.uk"/>
    <d v="2023-07-22T00:00:00"/>
    <d v="2023-08-24T00:00:00"/>
    <d v="2023-09-06T00:00:00"/>
    <n v="13"/>
    <s v="USD"/>
    <n v="6517.1"/>
    <m/>
    <x v="2"/>
    <x v="7"/>
    <n v="6517.1"/>
  </r>
  <r>
    <n v="166"/>
    <s v="RDT2023073145"/>
    <x v="0"/>
    <x v="0"/>
    <x v="3"/>
    <s v="United States of America"/>
    <s v="Sri Lanka"/>
    <x v="0"/>
    <s v="Ms Elizabeth Baldwin"/>
    <s v="lbaldwin@fhi360.org"/>
    <d v="2023-07-21T00:00:00"/>
    <d v="2023-07-31T00:00:00"/>
    <d v="2023-08-04T00:00:00"/>
    <n v="4"/>
    <s v="USD"/>
    <n v="939.43"/>
    <m/>
    <x v="2"/>
    <x v="8"/>
    <n v="939.43"/>
  </r>
  <r>
    <n v="167"/>
    <s v="RDT2023073144"/>
    <x v="0"/>
    <x v="0"/>
    <x v="0"/>
    <s v="United Kingdom"/>
    <s v="Sri Lanka"/>
    <x v="1"/>
    <s v="Ms Moira Leaney"/>
    <s v="moiraleaney1@gmail.com"/>
    <d v="2023-07-20T00:00:00"/>
    <d v="2023-07-13T00:00:00"/>
    <d v="2024-02-26T00:00:00"/>
    <n v="228"/>
    <s v="USD"/>
    <n v="4973.34"/>
    <m/>
    <x v="2"/>
    <x v="8"/>
    <n v="4973.34"/>
  </r>
  <r>
    <n v="168"/>
    <s v="RDT2023073141"/>
    <x v="0"/>
    <x v="0"/>
    <x v="3"/>
    <s v="United Kingdom"/>
    <s v="Sri Lanka"/>
    <x v="1"/>
    <s v="Mr James  Smillie"/>
    <s v="Jamescsmillie@hotmail.co.uk"/>
    <d v="2023-07-19T00:00:00"/>
    <d v="2024-03-09T00:00:00"/>
    <d v="2024-03-23T00:00:00"/>
    <n v="14"/>
    <s v="USD"/>
    <n v="11505.35"/>
    <m/>
    <x v="0"/>
    <x v="0"/>
    <n v="11505.35"/>
  </r>
  <r>
    <n v="169"/>
    <s v="RDT2023073135"/>
    <x v="0"/>
    <x v="0"/>
    <x v="4"/>
    <s v="Australia"/>
    <s v="Sri Lanka"/>
    <x v="2"/>
    <s v="Mr Matthew Jones"/>
    <s v="mattjonesy@hotmail.com"/>
    <d v="2023-07-14T00:00:00"/>
    <d v="2024-01-16T00:00:00"/>
    <d v="2024-01-28T00:00:00"/>
    <n v="12"/>
    <s v="USD"/>
    <n v="2474.7199999999998"/>
    <m/>
    <x v="0"/>
    <x v="2"/>
    <n v="2474.7199999999998"/>
  </r>
  <r>
    <n v="170"/>
    <s v="RDT2023073128"/>
    <x v="0"/>
    <x v="0"/>
    <x v="4"/>
    <s v="Australia"/>
    <s v="Sri Lanka"/>
    <x v="2"/>
    <s v="Mrs Vicki Alison Parker"/>
    <s v="vickiaparker5@gmail.com"/>
    <d v="2023-07-12T00:00:00"/>
    <d v="2023-11-02T00:00:00"/>
    <d v="2023-11-19T00:00:00"/>
    <n v="17"/>
    <s v="USD"/>
    <n v="8070.05"/>
    <m/>
    <x v="2"/>
    <x v="4"/>
    <n v="8070.05"/>
  </r>
  <r>
    <n v="171"/>
    <s v="SLIS2023073126"/>
    <x v="1"/>
    <x v="3"/>
    <x v="4"/>
    <s v="Singapore"/>
    <s v="Sri Lanka"/>
    <x v="4"/>
    <s v="Mrs Rochelle  Neel Chhaya"/>
    <s v="Rochelle.chhaya@gmail.com"/>
    <d v="2023-07-12T00:00:00"/>
    <d v="2023-10-11T00:00:00"/>
    <d v="2023-10-21T00:00:00"/>
    <n v="10"/>
    <s v="USD"/>
    <n v="5796.1"/>
    <m/>
    <x v="2"/>
    <x v="5"/>
    <n v="5796.1"/>
  </r>
  <r>
    <n v="172"/>
    <s v="RDT2023073125"/>
    <x v="0"/>
    <x v="3"/>
    <x v="4"/>
    <s v="United Kingdom"/>
    <s v="Sri Lanka"/>
    <x v="1"/>
    <s v="Mr Henry  Birch"/>
    <s v="Hbirchuk@gmail.com"/>
    <d v="2023-07-12T00:00:00"/>
    <d v="2023-08-20T00:00:00"/>
    <d v="2023-08-30T00:00:00"/>
    <n v="10"/>
    <s v="USD"/>
    <n v="17224.36"/>
    <m/>
    <x v="2"/>
    <x v="7"/>
    <n v="17224.36"/>
  </r>
  <r>
    <n v="173"/>
    <s v="RDT2023073124"/>
    <x v="0"/>
    <x v="0"/>
    <x v="3"/>
    <s v="United Kingdom"/>
    <s v="Sri Lanka"/>
    <x v="0"/>
    <s v="Ms Nicole Morrison"/>
    <s v="nicoleamorrison12@gmail.com"/>
    <d v="2023-07-11T00:00:00"/>
    <d v="2023-11-05T00:00:00"/>
    <d v="2023-11-21T00:00:00"/>
    <n v="16"/>
    <s v="USD"/>
    <n v="7097.52"/>
    <m/>
    <x v="2"/>
    <x v="4"/>
    <n v="7097.52"/>
  </r>
  <r>
    <n v="174"/>
    <s v="SLIS2023073119"/>
    <x v="1"/>
    <x v="0"/>
    <x v="6"/>
    <s v="Australia"/>
    <s v="Sri Lanka"/>
    <x v="2"/>
    <s v="Mr Chris Dixon"/>
    <s v="bandit101098@gmail.com"/>
    <d v="2023-07-08T00:00:00"/>
    <d v="2024-01-01T00:00:00"/>
    <d v="2024-01-17T00:00:00"/>
    <n v="16"/>
    <s v="USD"/>
    <n v="26700.46"/>
    <m/>
    <x v="0"/>
    <x v="2"/>
    <n v="26700.46"/>
  </r>
  <r>
    <n v="175"/>
    <s v="RDT2023073114"/>
    <x v="0"/>
    <x v="0"/>
    <x v="3"/>
    <s v="United Kingdom"/>
    <s v="Sri Lanka"/>
    <x v="1"/>
    <s v="Mr Ian Weighell"/>
    <s v="Lisa.snowball@gmail.com"/>
    <d v="2023-07-07T00:00:00"/>
    <d v="2023-07-27T00:00:00"/>
    <d v="2023-08-08T00:00:00"/>
    <n v="12"/>
    <s v="USD"/>
    <n v="1320"/>
    <m/>
    <x v="2"/>
    <x v="8"/>
    <n v="1320"/>
  </r>
  <r>
    <n v="176"/>
    <s v="RDT2023073110"/>
    <x v="0"/>
    <x v="0"/>
    <x v="2"/>
    <s v="United Kingdom"/>
    <s v="Sri Lanka"/>
    <x v="1"/>
    <s v="Mr Marcus Goodbody"/>
    <s v="marcusdgoodbody@gmail.com"/>
    <d v="2023-07-05T00:00:00"/>
    <d v="2023-08-24T00:00:00"/>
    <d v="2023-09-09T00:00:00"/>
    <n v="16"/>
    <s v="USD"/>
    <n v="4592.7700000000004"/>
    <m/>
    <x v="2"/>
    <x v="7"/>
    <n v="4592.7700000000004"/>
  </r>
  <r>
    <n v="177"/>
    <s v="RDT2023073104"/>
    <x v="0"/>
    <x v="3"/>
    <x v="0"/>
    <s v="United Kingdom"/>
    <s v="Sri Lanka"/>
    <x v="1"/>
    <s v="Mrs Rebecca White"/>
    <s v="rebeccalouwhite@gmail.com"/>
    <d v="2023-07-04T00:00:00"/>
    <d v="2024-02-22T00:00:00"/>
    <d v="2024-03-10T00:00:00"/>
    <n v="17"/>
    <s v="USD"/>
    <n v="13980.06"/>
    <m/>
    <x v="0"/>
    <x v="1"/>
    <n v="13980.06"/>
  </r>
  <r>
    <n v="178"/>
    <s v="RDT2023063099"/>
    <x v="0"/>
    <x v="3"/>
    <x v="3"/>
    <s v="United Kingdom"/>
    <s v="Sri Lanka"/>
    <x v="1"/>
    <s v="Mrs Joanne  Rogers"/>
    <s v="Jo.Rogers@enpure.co.uk"/>
    <d v="2023-06-30T00:00:00"/>
    <d v="2023-11-25T00:00:00"/>
    <d v="2023-12-04T00:00:00"/>
    <n v="9"/>
    <s v="USD"/>
    <n v="7952.79"/>
    <m/>
    <x v="2"/>
    <x v="4"/>
    <n v="7952.79"/>
  </r>
  <r>
    <n v="179"/>
    <s v="RDT2023063096"/>
    <x v="0"/>
    <x v="2"/>
    <x v="4"/>
    <s v="United Kingdom"/>
    <s v="Sri Lanka"/>
    <x v="1"/>
    <s v="Mr Roy  Anthony Lawrance"/>
    <s v="roylawrance@talktalk.net"/>
    <d v="2023-06-29T00:00:00"/>
    <d v="2024-01-30T00:00:00"/>
    <d v="2024-02-28T00:00:00"/>
    <n v="29"/>
    <s v="USD"/>
    <n v="12565.12"/>
    <m/>
    <x v="0"/>
    <x v="2"/>
    <n v="12565.12"/>
  </r>
  <r>
    <n v="180"/>
    <s v="RDT2023063095"/>
    <x v="0"/>
    <x v="0"/>
    <x v="4"/>
    <s v="United Kingdom"/>
    <s v="Sri Lanka"/>
    <x v="1"/>
    <s v="Ms Nicola  Grace Niblock"/>
    <s v="ngniblock@outlook.com"/>
    <d v="2023-06-29T00:00:00"/>
    <d v="2023-12-30T00:00:00"/>
    <d v="2024-01-13T00:00:00"/>
    <n v="14"/>
    <s v="USD"/>
    <n v="7570.59"/>
    <m/>
    <x v="2"/>
    <x v="3"/>
    <n v="7570.59"/>
  </r>
  <r>
    <n v="181"/>
    <s v="RDT2023063094"/>
    <x v="0"/>
    <x v="3"/>
    <x v="4"/>
    <s v="United Kingdom"/>
    <s v="Sri Lanka"/>
    <x v="1"/>
    <s v="Mr Robert  Miles"/>
    <s v="rjmiles1@outlook.com"/>
    <d v="2023-06-29T00:00:00"/>
    <d v="2023-08-02T00:00:00"/>
    <d v="2023-08-18T00:00:00"/>
    <n v="16"/>
    <s v="USD"/>
    <n v="9355.3700000000008"/>
    <m/>
    <x v="2"/>
    <x v="7"/>
    <n v="9355.3700000000008"/>
  </r>
  <r>
    <n v="182"/>
    <s v="RDT2023063089"/>
    <x v="0"/>
    <x v="0"/>
    <x v="0"/>
    <s v="Ireland"/>
    <s v="Sri Lanka"/>
    <x v="13"/>
    <s v="Mr William Bourke"/>
    <s v="williamdeburca@hotmail.com"/>
    <d v="2023-06-28T00:00:00"/>
    <d v="2023-07-11T00:00:00"/>
    <d v="2023-07-22T00:00:00"/>
    <n v="11"/>
    <s v="USD"/>
    <n v="4577.8599999999997"/>
    <m/>
    <x v="2"/>
    <x v="8"/>
    <n v="4577.8599999999997"/>
  </r>
  <r>
    <n v="183"/>
    <s v="SLIS2023063084"/>
    <x v="1"/>
    <x v="3"/>
    <x v="7"/>
    <s v="Spain"/>
    <s v="Sri Lanka"/>
    <x v="18"/>
    <s v="Mrs ANA LORANCA"/>
    <s v="a.lorancamiranda@gmail.com"/>
    <d v="2023-06-27T00:00:00"/>
    <d v="2023-11-15T00:00:00"/>
    <d v="2023-11-29T00:00:00"/>
    <n v="14"/>
    <s v="USD"/>
    <n v="7052.23"/>
    <m/>
    <x v="2"/>
    <x v="4"/>
    <n v="7052.23"/>
  </r>
  <r>
    <n v="184"/>
    <s v="SLIS2023063083"/>
    <x v="1"/>
    <x v="0"/>
    <x v="2"/>
    <s v="New Zealand"/>
    <s v="Sri Lanka"/>
    <x v="19"/>
    <s v="Ms Amelia O Brien"/>
    <s v="the_obriens@xtra.co.Nz"/>
    <d v="2023-06-27T00:00:00"/>
    <d v="2023-09-23T00:00:00"/>
    <d v="2023-10-07T00:00:00"/>
    <n v="14"/>
    <s v="USD"/>
    <n v="9685.26"/>
    <m/>
    <x v="2"/>
    <x v="6"/>
    <n v="9685.26"/>
  </r>
  <r>
    <n v="185"/>
    <s v="RDT2023063080"/>
    <x v="0"/>
    <x v="0"/>
    <x v="3"/>
    <s v="United Kingdom"/>
    <s v="Sri Lanka"/>
    <x v="1"/>
    <s v="Mr Tom Martin"/>
    <s v="tmartinrg14@gmail.com"/>
    <d v="2023-06-26T00:00:00"/>
    <d v="2024-01-14T00:00:00"/>
    <d v="2024-01-31T00:00:00"/>
    <n v="17"/>
    <s v="USD"/>
    <n v="22044.6"/>
    <m/>
    <x v="0"/>
    <x v="2"/>
    <n v="22044.6"/>
  </r>
  <r>
    <n v="186"/>
    <s v="RDT2023063079"/>
    <x v="0"/>
    <x v="3"/>
    <x v="2"/>
    <s v="United Kingdom"/>
    <s v="Sri Lanka"/>
    <x v="1"/>
    <s v="Ms Aliza Ratnayaka"/>
    <s v="aliza.ratnayaka@yahoo.com"/>
    <d v="2023-06-26T00:00:00"/>
    <d v="2023-07-09T00:00:00"/>
    <d v="2023-07-14T00:00:00"/>
    <n v="5"/>
    <s v="GBP"/>
    <n v="3513.97"/>
    <m/>
    <x v="2"/>
    <x v="8"/>
    <n v="3513.97"/>
  </r>
  <r>
    <n v="187"/>
    <s v="RDT2023063071"/>
    <x v="0"/>
    <x v="0"/>
    <x v="4"/>
    <s v="United Kingdom"/>
    <s v="Sri Lanka"/>
    <x v="1"/>
    <s v="Ms Kelly  Rafter"/>
    <s v="wearekellyandsteve@gmail.com"/>
    <d v="2023-06-20T00:00:00"/>
    <d v="2023-10-07T00:00:00"/>
    <d v="2023-10-15T00:00:00"/>
    <n v="8"/>
    <s v="USD"/>
    <n v="4243.6499999999996"/>
    <m/>
    <x v="2"/>
    <x v="5"/>
    <n v="4243.6499999999996"/>
  </r>
  <r>
    <n v="188"/>
    <s v="RDT2023063069"/>
    <x v="0"/>
    <x v="3"/>
    <x v="4"/>
    <s v="United States of America"/>
    <s v="Sri Lanka"/>
    <x v="0"/>
    <s v="Ms Martha    Fiona Korwin-Pawlowski Ryan"/>
    <s v="fionakp@gmail.com rratnam@endeavorco.com"/>
    <d v="2023-06-19T00:00:00"/>
    <d v="2023-07-20T00:00:00"/>
    <d v="2023-07-31T00:00:00"/>
    <n v="11"/>
    <s v="USD"/>
    <n v="6082.44"/>
    <m/>
    <x v="2"/>
    <x v="8"/>
    <n v="6082.44"/>
  </r>
  <r>
    <n v="189"/>
    <s v="SLIS2023063066"/>
    <x v="1"/>
    <x v="0"/>
    <x v="0"/>
    <s v="Singapore"/>
    <s v="Sri Lanka"/>
    <x v="4"/>
    <s v="Mr Shasti Smith"/>
    <s v="shasti_smith@hotmail.com"/>
    <d v="2023-06-18T00:00:00"/>
    <d v="2023-08-20T00:00:00"/>
    <d v="2023-08-29T00:00:00"/>
    <n v="9"/>
    <s v="USD"/>
    <n v="5498"/>
    <m/>
    <x v="2"/>
    <x v="7"/>
    <n v="5498"/>
  </r>
  <r>
    <n v="190"/>
    <s v="RDT2023063060"/>
    <x v="0"/>
    <x v="0"/>
    <x v="4"/>
    <s v="United Kingdom"/>
    <s v="Sri Lanka"/>
    <x v="1"/>
    <s v="Mr Stephen  Paul Southward"/>
    <s v="one—stephen.southward@nhs.net"/>
    <d v="2023-06-14T00:00:00"/>
    <d v="2023-11-22T00:00:00"/>
    <d v="2023-12-02T00:00:00"/>
    <n v="10"/>
    <s v="USD"/>
    <n v="3930.43"/>
    <m/>
    <x v="2"/>
    <x v="4"/>
    <n v="3930.43"/>
  </r>
  <r>
    <n v="191"/>
    <s v="RDT2023063056"/>
    <x v="0"/>
    <x v="0"/>
    <x v="3"/>
    <s v="United Kingdom"/>
    <s v="Sri Lanka"/>
    <x v="1"/>
    <s v="Mr John  Colton"/>
    <s v="jc@holdsworth-foods.co.uk"/>
    <d v="2023-06-10T00:00:00"/>
    <d v="2024-03-28T00:00:00"/>
    <d v="2024-04-20T00:00:00"/>
    <n v="23"/>
    <s v="USD"/>
    <n v="18655.490000000002"/>
    <m/>
    <x v="0"/>
    <x v="0"/>
    <n v="18655.490000000002"/>
  </r>
  <r>
    <n v="192"/>
    <s v="SLIS2023063055"/>
    <x v="1"/>
    <x v="0"/>
    <x v="3"/>
    <s v="Singapore"/>
    <s v="Sri Lanka"/>
    <x v="2"/>
    <s v="Ms LLOYD ROBYN  DALLAS"/>
    <s v="LLOYDRD99@GMAIL.COM"/>
    <d v="2023-06-10T00:00:00"/>
    <d v="2023-08-13T00:00:00"/>
    <d v="2023-08-28T00:00:00"/>
    <n v="15"/>
    <s v="USD"/>
    <n v="7749.17"/>
    <m/>
    <x v="2"/>
    <x v="7"/>
    <n v="7749.17"/>
  </r>
  <r>
    <n v="193"/>
    <s v="RDT2023063054"/>
    <x v="0"/>
    <x v="0"/>
    <x v="3"/>
    <s v="United Kingdom"/>
    <s v="India"/>
    <x v="1"/>
    <s v="Mr Alexei Metcalf"/>
    <s v="76sgroad@gmail.com"/>
    <d v="2023-06-10T00:00:00"/>
    <d v="2023-10-10T00:00:00"/>
    <d v="2023-10-10T00:00:00"/>
    <n v="0"/>
    <s v="USD"/>
    <n v="4374"/>
    <m/>
    <x v="2"/>
    <x v="5"/>
    <n v="4374"/>
  </r>
  <r>
    <n v="194"/>
    <s v="RDT2023063053"/>
    <x v="0"/>
    <x v="1"/>
    <x v="0"/>
    <s v="Sri Lanka"/>
    <s v="Sri Lanka"/>
    <x v="9"/>
    <s v="Mr Donovan  Abeyewardene"/>
    <s v="donovan@srilankainstyle.com"/>
    <d v="2023-06-09T00:00:00"/>
    <d v="2023-06-12T00:00:00"/>
    <d v="2023-06-15T00:00:00"/>
    <n v="3"/>
    <s v="USD"/>
    <n v="419.19"/>
    <m/>
    <x v="2"/>
    <x v="9"/>
    <n v="419.19"/>
  </r>
  <r>
    <n v="195"/>
    <s v="RDT2023063048"/>
    <x v="0"/>
    <x v="0"/>
    <x v="4"/>
    <s v="United Kingdom"/>
    <s v="Sri Lanka"/>
    <x v="1"/>
    <s v="Ms Jane      Smith"/>
    <s v="jane.smith5000@ntlworld.com"/>
    <d v="2023-06-08T00:00:00"/>
    <d v="2024-03-10T00:00:00"/>
    <d v="2024-04-12T00:00:00"/>
    <n v="33"/>
    <s v="USD"/>
    <n v="10443.18"/>
    <m/>
    <x v="0"/>
    <x v="0"/>
    <n v="10443.18"/>
  </r>
  <r>
    <n v="196"/>
    <s v="RDT2023063047"/>
    <x v="0"/>
    <x v="0"/>
    <x v="3"/>
    <s v="United Kingdom"/>
    <s v="Sri Lanka"/>
    <x v="1"/>
    <s v="Mrs Hilary Johnson"/>
    <s v="hilsjohnson@hotmail.com"/>
    <d v="2023-06-08T00:00:00"/>
    <d v="2023-08-11T00:00:00"/>
    <d v="2023-08-28T00:00:00"/>
    <n v="17"/>
    <s v="USD"/>
    <n v="23979.77"/>
    <m/>
    <x v="2"/>
    <x v="7"/>
    <n v="23979.77"/>
  </r>
  <r>
    <n v="197"/>
    <s v="RDT2023063043"/>
    <x v="0"/>
    <x v="0"/>
    <x v="4"/>
    <s v="Canada"/>
    <s v="Sri Lanka"/>
    <x v="5"/>
    <s v="Ms Renuka Harris"/>
    <s v="drcjharris@rogers.com"/>
    <d v="2023-06-08T00:00:00"/>
    <d v="2024-01-25T00:00:00"/>
    <d v="2024-02-09T00:00:00"/>
    <n v="15"/>
    <s v="USD"/>
    <n v="19484.97"/>
    <m/>
    <x v="0"/>
    <x v="2"/>
    <n v="19484.97"/>
  </r>
  <r>
    <n v="198"/>
    <s v="RDT2023063030"/>
    <x v="0"/>
    <x v="0"/>
    <x v="0"/>
    <s v="United Kingdom"/>
    <s v="Sri Lanka"/>
    <x v="1"/>
    <s v="Ms Jasmynne Bushrod"/>
    <s v="jasmynne.bushrod@gmail.com,jasmynne.bushrod@gmail.com"/>
    <d v="2023-06-05T00:00:00"/>
    <d v="2023-08-27T00:00:00"/>
    <d v="2023-09-08T00:00:00"/>
    <n v="12"/>
    <s v="USD"/>
    <n v="3835.58"/>
    <m/>
    <x v="2"/>
    <x v="7"/>
    <n v="3835.58"/>
  </r>
  <r>
    <n v="199"/>
    <s v="RDT2023063029"/>
    <x v="0"/>
    <x v="0"/>
    <x v="0"/>
    <s v="United Kingdom"/>
    <s v="Sri Lanka"/>
    <x v="1"/>
    <s v="Mrs Stephanie Kay"/>
    <s v="stephaniekay01@aol.com"/>
    <d v="2023-06-04T00:00:00"/>
    <d v="2024-03-18T00:00:00"/>
    <d v="2024-03-27T00:00:00"/>
    <n v="9"/>
    <s v="USD"/>
    <n v="11885.68"/>
    <m/>
    <x v="0"/>
    <x v="0"/>
    <n v="11885.68"/>
  </r>
  <r>
    <n v="200"/>
    <s v="RDT2023063028"/>
    <x v="0"/>
    <x v="0"/>
    <x v="2"/>
    <s v="United Kingdom"/>
    <s v="Sri Lanka"/>
    <x v="1"/>
    <s v="Mr Abdul Ferdous"/>
    <s v="ace2k7@hotmail.com"/>
    <d v="2023-06-02T00:00:00"/>
    <d v="2023-08-05T00:00:00"/>
    <d v="2023-08-20T00:00:00"/>
    <n v="15"/>
    <s v="GBP"/>
    <n v="10730.24"/>
    <m/>
    <x v="2"/>
    <x v="7"/>
    <n v="10730.24"/>
  </r>
  <r>
    <n v="201"/>
    <s v="RDT2023063027"/>
    <x v="0"/>
    <x v="0"/>
    <x v="2"/>
    <s v="United Kingdom"/>
    <s v="Sri Lanka"/>
    <x v="1"/>
    <s v="Mr Nicholas Carter"/>
    <s v="nicholascarter714@icloud.com"/>
    <d v="2023-06-02T00:00:00"/>
    <d v="2024-02-24T00:00:00"/>
    <d v="2024-03-28T00:00:00"/>
    <n v="33"/>
    <s v="USD"/>
    <n v="21013.88"/>
    <m/>
    <x v="0"/>
    <x v="1"/>
    <n v="21013.88"/>
  </r>
  <r>
    <n v="202"/>
    <s v="RDT2023063024"/>
    <x v="0"/>
    <x v="0"/>
    <x v="3"/>
    <s v="United Kingdom"/>
    <s v="Sri Lanka"/>
    <x v="1"/>
    <s v="Mr Trevor Magaziner"/>
    <s v="pearltyba@aol.com"/>
    <d v="2023-06-01T00:00:00"/>
    <d v="2024-02-13T00:00:00"/>
    <d v="2024-03-01T00:00:00"/>
    <n v="17"/>
    <s v="USD"/>
    <n v="13361.52"/>
    <m/>
    <x v="0"/>
    <x v="1"/>
    <n v="13361.52"/>
  </r>
  <r>
    <n v="203"/>
    <s v="RDT2023053018"/>
    <x v="0"/>
    <x v="0"/>
    <x v="3"/>
    <s v="United Kingdom"/>
    <s v="Sri Lanka"/>
    <x v="1"/>
    <s v="Mrs Andrea Muirhead"/>
    <s v="andreamuirhead1@gmail.com"/>
    <d v="2023-05-29T00:00:00"/>
    <d v="2023-07-08T00:00:00"/>
    <d v="2023-07-23T00:00:00"/>
    <n v="15"/>
    <s v="USD"/>
    <n v="16192.99"/>
    <m/>
    <x v="2"/>
    <x v="8"/>
    <n v="16192.99"/>
  </r>
  <r>
    <n v="204"/>
    <s v="RDT2023053017"/>
    <x v="0"/>
    <x v="0"/>
    <x v="4"/>
    <s v="United Kingdom"/>
    <s v="Sri Lanka"/>
    <x v="1"/>
    <s v="Ms Karla  Yetunde Murray-Bruce"/>
    <s v="karla2691@googlemail.com"/>
    <d v="2023-05-29T00:00:00"/>
    <d v="2023-11-18T00:00:00"/>
    <d v="2023-12-03T00:00:00"/>
    <n v="15"/>
    <s v="USD"/>
    <n v="6432.74"/>
    <m/>
    <x v="2"/>
    <x v="4"/>
    <n v="6432.74"/>
  </r>
  <r>
    <n v="205"/>
    <s v="RDT2023053015"/>
    <x v="0"/>
    <x v="0"/>
    <x v="3"/>
    <s v="United Kingdom"/>
    <s v="Sri Lanka"/>
    <x v="13"/>
    <s v="Mrs Catherine O&amp;rsquo;Hanlon"/>
    <s v="catie_halliday@hotmail.com"/>
    <d v="2023-05-29T00:00:00"/>
    <d v="2023-07-20T00:00:00"/>
    <d v="2023-08-02T00:00:00"/>
    <n v="13"/>
    <s v="USD"/>
    <n v="1619.17"/>
    <m/>
    <x v="2"/>
    <x v="8"/>
    <n v="1619.17"/>
  </r>
  <r>
    <n v="206"/>
    <s v="SLIS2023053000"/>
    <x v="1"/>
    <x v="3"/>
    <x v="7"/>
    <s v="Spain"/>
    <s v="Sri Lanka"/>
    <x v="18"/>
    <s v="Ms GRACIA SIERRA"/>
    <s v="gsierrasierra@yahoo.com.ar"/>
    <d v="2023-05-24T00:00:00"/>
    <d v="2023-07-09T00:00:00"/>
    <d v="2023-07-24T00:00:00"/>
    <n v="15"/>
    <s v="USD"/>
    <n v="13897.38"/>
    <m/>
    <x v="2"/>
    <x v="8"/>
    <n v="13897.38"/>
  </r>
  <r>
    <n v="207"/>
    <s v="RDT2023052997"/>
    <x v="0"/>
    <x v="0"/>
    <x v="4"/>
    <s v="United Kingdom"/>
    <s v="Sri Lanka"/>
    <x v="1"/>
    <s v="Mr John  Robert Picton Turbervill"/>
    <s v="johnturbervill@gmail.com"/>
    <d v="2023-05-24T00:00:00"/>
    <d v="2024-02-16T00:00:00"/>
    <d v="2024-03-02T00:00:00"/>
    <n v="15"/>
    <s v="USD"/>
    <n v="13237.39"/>
    <m/>
    <x v="0"/>
    <x v="1"/>
    <n v="13237.39"/>
  </r>
  <r>
    <n v="208"/>
    <s v="RDT2023052995"/>
    <x v="0"/>
    <x v="0"/>
    <x v="4"/>
    <s v="New Zealand"/>
    <s v="Sri Lanka"/>
    <x v="19"/>
    <s v="Mr Tivanka Prinith Senanayake"/>
    <s v="tivandemma@gmail.com"/>
    <d v="2023-05-24T00:00:00"/>
    <d v="2023-07-14T00:00:00"/>
    <d v="2023-08-02T00:00:00"/>
    <n v="19"/>
    <s v="USD"/>
    <n v="10267.700000000001"/>
    <m/>
    <x v="2"/>
    <x v="8"/>
    <n v="10267.700000000001"/>
  </r>
  <r>
    <n v="209"/>
    <s v="RDT2023052988"/>
    <x v="0"/>
    <x v="0"/>
    <x v="3"/>
    <s v="United Kingdom"/>
    <s v="Sri Lanka"/>
    <x v="1"/>
    <s v="Mr Malcolm Roberts"/>
    <s v="mickrroberts@sky.com"/>
    <d v="2023-05-18T00:00:00"/>
    <d v="2024-03-09T00:00:00"/>
    <d v="2024-03-23T00:00:00"/>
    <n v="14"/>
    <s v="USD"/>
    <n v="8435.9699999999993"/>
    <m/>
    <x v="0"/>
    <x v="0"/>
    <n v="8435.9699999999993"/>
  </r>
  <r>
    <n v="210"/>
    <s v="SLIS2023052983"/>
    <x v="1"/>
    <x v="2"/>
    <x v="8"/>
    <s v="Canada"/>
    <s v="Sri Lanka"/>
    <x v="5"/>
    <s v="Mrs Charlotte Lepp"/>
    <s v="clepp@leppfarmmarket.com"/>
    <d v="2023-05-16T00:00:00"/>
    <d v="2023-05-19T00:00:00"/>
    <d v="2023-05-19T00:00:00"/>
    <n v="0"/>
    <s v="USD"/>
    <n v="35"/>
    <m/>
    <x v="2"/>
    <x v="10"/>
    <n v="35"/>
  </r>
  <r>
    <n v="211"/>
    <s v="RDT2023052982"/>
    <x v="0"/>
    <x v="0"/>
    <x v="3"/>
    <s v="United Kingdom"/>
    <s v="Sri Lanka"/>
    <x v="1"/>
    <s v="Mrs Vivien  Leslie"/>
    <s v="moatend@me.com"/>
    <d v="2023-05-16T00:00:00"/>
    <d v="2024-02-25T00:00:00"/>
    <d v="2024-03-06T00:00:00"/>
    <n v="10"/>
    <s v="USD"/>
    <n v="6899.9"/>
    <m/>
    <x v="0"/>
    <x v="1"/>
    <n v="6899.9"/>
  </r>
  <r>
    <n v="212"/>
    <s v="RDT2023052981"/>
    <x v="0"/>
    <x v="0"/>
    <x v="2"/>
    <s v="United Kingdom"/>
    <s v="Sri Lanka"/>
    <x v="1"/>
    <s v="Mr Nicholas Carter"/>
    <s v="nicholascarter714@icloud.com"/>
    <d v="2023-05-16T00:00:00"/>
    <d v="2024-02-24T00:00:00"/>
    <d v="2024-02-24T00:00:00"/>
    <n v="0"/>
    <s v="GBP"/>
    <n v="158.09"/>
    <m/>
    <x v="0"/>
    <x v="1"/>
    <n v="158.09"/>
  </r>
  <r>
    <n v="213"/>
    <s v="SLIS2023052967"/>
    <x v="1"/>
    <x v="4"/>
    <x v="5"/>
    <s v="United States of America"/>
    <s v="Sri Lanka"/>
    <x v="0"/>
    <s v="Mrs Nita Taublib"/>
    <s v="ntaublib@gmail.com"/>
    <d v="2023-05-11T00:00:00"/>
    <d v="2024-03-21T00:00:00"/>
    <d v="2024-04-03T00:00:00"/>
    <n v="13"/>
    <s v="USD"/>
    <n v="13719.28"/>
    <m/>
    <x v="0"/>
    <x v="0"/>
    <n v="13719.28"/>
  </r>
  <r>
    <n v="214"/>
    <s v="SLIS2023052966"/>
    <x v="1"/>
    <x v="4"/>
    <x v="2"/>
    <s v="United States of America"/>
    <s v="Sri Lanka"/>
    <x v="0"/>
    <s v="Mrs Priscilla Eakeley"/>
    <s v="peakeley@gmail.com"/>
    <d v="2023-05-11T00:00:00"/>
    <d v="2023-12-27T00:00:00"/>
    <d v="2024-01-13T00:00:00"/>
    <n v="17"/>
    <s v="USD"/>
    <n v="2218"/>
    <m/>
    <x v="2"/>
    <x v="3"/>
    <n v="2218"/>
  </r>
  <r>
    <n v="215"/>
    <s v="RDT2023052961"/>
    <x v="0"/>
    <x v="0"/>
    <x v="3"/>
    <s v="United Kingdom"/>
    <s v="Sri Lanka"/>
    <x v="1"/>
    <s v="Mrs Chenali  Senanayake"/>
    <s v="chenalisenanayake@hotmail.co.uk"/>
    <d v="2023-05-10T00:00:00"/>
    <d v="2023-07-10T00:00:00"/>
    <d v="2023-07-20T00:00:00"/>
    <n v="10"/>
    <s v="USD"/>
    <n v="19864"/>
    <m/>
    <x v="2"/>
    <x v="8"/>
    <n v="19864"/>
  </r>
  <r>
    <n v="216"/>
    <s v="RDT2023052953"/>
    <x v="0"/>
    <x v="0"/>
    <x v="4"/>
    <s v="United Kingdom"/>
    <s v="Sri Lanka"/>
    <x v="1"/>
    <s v="Mr Andrew  James Hackett"/>
    <s v="andrew.hackett@hotmail.co.uk"/>
    <d v="2023-05-09T00:00:00"/>
    <d v="2023-05-21T00:00:00"/>
    <d v="2023-06-06T00:00:00"/>
    <n v="16"/>
    <s v="USD"/>
    <n v="7846.17"/>
    <m/>
    <x v="2"/>
    <x v="10"/>
    <n v="7846.17"/>
  </r>
  <r>
    <n v="217"/>
    <s v="RDT2023052945"/>
    <x v="0"/>
    <x v="0"/>
    <x v="4"/>
    <s v="United Kingdom"/>
    <s v="Sri Lanka"/>
    <x v="1"/>
    <s v="Ms Chenali  Senanayake"/>
    <s v="chenalisenanayake@hotmail.co.uk"/>
    <d v="2023-05-05T00:00:00"/>
    <d v="2023-07-20T00:00:00"/>
    <d v="2023-08-04T00:00:00"/>
    <n v="15"/>
    <s v="USD"/>
    <n v="6181.13"/>
    <m/>
    <x v="2"/>
    <x v="8"/>
    <n v="6181.13"/>
  </r>
  <r>
    <n v="218"/>
    <s v="RDT2023052944"/>
    <x v="0"/>
    <x v="0"/>
    <x v="4"/>
    <s v="United Kingdom"/>
    <s v="Sri Lanka"/>
    <x v="1"/>
    <s v="Dr Awais Alvi"/>
    <s v="awaisalvi@hotmail.com"/>
    <d v="2023-05-05T00:00:00"/>
    <d v="2023-07-23T00:00:00"/>
    <d v="2023-08-07T00:00:00"/>
    <n v="15"/>
    <s v="USD"/>
    <n v="4817.6499999999996"/>
    <m/>
    <x v="2"/>
    <x v="8"/>
    <n v="4817.6499999999996"/>
  </r>
  <r>
    <n v="219"/>
    <s v="SLIS2023052943"/>
    <x v="1"/>
    <x v="3"/>
    <x v="8"/>
    <s v="United States of America"/>
    <s v="Sri Lanka"/>
    <x v="0"/>
    <s v="Mrs Rebecca Browning"/>
    <s v="rebeccahbrowning@yahoo.com"/>
    <d v="2023-05-04T00:00:00"/>
    <d v="2023-07-01T00:00:00"/>
    <d v="2023-07-14T00:00:00"/>
    <n v="13"/>
    <s v="USD"/>
    <n v="7732.57"/>
    <m/>
    <x v="2"/>
    <x v="8"/>
    <n v="7732.57"/>
  </r>
  <r>
    <n v="220"/>
    <s v="RDT2023052940"/>
    <x v="0"/>
    <x v="3"/>
    <x v="4"/>
    <s v="United Kingdom"/>
    <s v="Sri Lanka"/>
    <x v="1"/>
    <s v="Mr Raja  Saggi"/>
    <s v="rajasaggi@gmail.com"/>
    <d v="2023-05-04T00:00:00"/>
    <d v="2023-12-20T00:00:00"/>
    <d v="2023-12-28T00:00:00"/>
    <n v="8"/>
    <s v="USD"/>
    <n v="8035.33"/>
    <m/>
    <x v="2"/>
    <x v="3"/>
    <n v="8035.33"/>
  </r>
  <r>
    <n v="221"/>
    <s v="RDT2023042930"/>
    <x v="0"/>
    <x v="2"/>
    <x v="4"/>
    <s v="United States of America"/>
    <s v="Sri Lanka"/>
    <x v="0"/>
    <s v="Mr Muhammad Afdhel Aziz"/>
    <s v="afdhelaziz@gmail.com"/>
    <d v="2023-04-28T00:00:00"/>
    <d v="2023-07-13T00:00:00"/>
    <d v="2023-07-31T00:00:00"/>
    <n v="18"/>
    <s v="USD"/>
    <n v="8926"/>
    <m/>
    <x v="2"/>
    <x v="8"/>
    <n v="8926"/>
  </r>
  <r>
    <n v="222"/>
    <s v="RDT2023042926"/>
    <x v="0"/>
    <x v="0"/>
    <x v="3"/>
    <s v="United Kingdom"/>
    <s v="Sri Lanka"/>
    <x v="1"/>
    <s v="Mrs Isabel Hemmings"/>
    <s v="isabelhemmings@yahoo.co.uk"/>
    <d v="2023-04-27T00:00:00"/>
    <d v="2023-06-06T00:00:00"/>
    <d v="2023-06-26T00:00:00"/>
    <n v="20"/>
    <s v="USD"/>
    <n v="9587.1299999999992"/>
    <m/>
    <x v="2"/>
    <x v="9"/>
    <n v="9587.1299999999992"/>
  </r>
  <r>
    <n v="223"/>
    <s v="RDT2023042922"/>
    <x v="0"/>
    <x v="0"/>
    <x v="3"/>
    <s v="United Kingdom"/>
    <s v="Sri Lanka"/>
    <x v="1"/>
    <s v="Mr Nicholas  Timur Ghiacy"/>
    <s v="nickghiacy@me.com"/>
    <d v="2023-04-26T00:00:00"/>
    <d v="2023-06-24T00:00:00"/>
    <d v="2023-07-09T00:00:00"/>
    <n v="15"/>
    <s v="USD"/>
    <n v="8760.3700000000008"/>
    <m/>
    <x v="2"/>
    <x v="9"/>
    <n v="8760.3700000000008"/>
  </r>
  <r>
    <n v="224"/>
    <s v="SLIS2023042918"/>
    <x v="1"/>
    <x v="0"/>
    <x v="8"/>
    <s v="India"/>
    <s v="Sri Lanka"/>
    <x v="12"/>
    <s v="Mr Ishan Handa"/>
    <s v="handa.ishan@gmail.com"/>
    <d v="2023-04-25T00:00:00"/>
    <d v="2023-05-19T00:00:00"/>
    <d v="2023-05-31T00:00:00"/>
    <n v="12"/>
    <s v="USD"/>
    <n v="5994.74"/>
    <m/>
    <x v="2"/>
    <x v="10"/>
    <n v="5994.74"/>
  </r>
  <r>
    <n v="225"/>
    <s v="SLIS2023042915"/>
    <x v="1"/>
    <x v="3"/>
    <x v="0"/>
    <s v="United Kingdom"/>
    <s v="Sri Lanka"/>
    <x v="1"/>
    <s v="Mr Anthony Wickham"/>
    <s v="anthony@wickham.co.uk"/>
    <d v="2023-04-24T00:00:00"/>
    <d v="2024-02-16T00:00:00"/>
    <d v="2024-03-09T00:00:00"/>
    <n v="22"/>
    <s v="USD"/>
    <n v="29494.03"/>
    <m/>
    <x v="0"/>
    <x v="1"/>
    <n v="29494.03"/>
  </r>
  <r>
    <n v="226"/>
    <s v="RDT2023042909"/>
    <x v="0"/>
    <x v="0"/>
    <x v="3"/>
    <s v="United Kingdom"/>
    <s v="Sri Lanka"/>
    <x v="1"/>
    <s v="Mr Steven  Vale"/>
    <s v="steven_vale@sky.com"/>
    <d v="2023-04-21T00:00:00"/>
    <d v="2023-11-10T00:00:00"/>
    <d v="2023-11-24T00:00:00"/>
    <n v="14"/>
    <s v="USD"/>
    <n v="23171.62"/>
    <m/>
    <x v="2"/>
    <x v="4"/>
    <n v="23171.62"/>
  </r>
  <r>
    <n v="227"/>
    <s v="RDT2023042904"/>
    <x v="0"/>
    <x v="3"/>
    <x v="4"/>
    <s v="United Arab Emirates"/>
    <s v="Sri Lanka"/>
    <x v="20"/>
    <s v="Ms Rola  Dabbagh Homsi"/>
    <s v="rola@grubtech.com"/>
    <d v="2023-04-21T00:00:00"/>
    <d v="2023-05-03T00:00:00"/>
    <d v="2023-05-13T00:00:00"/>
    <n v="10"/>
    <s v="USD"/>
    <n v="2339.9899999999998"/>
    <m/>
    <x v="2"/>
    <x v="10"/>
    <n v="2339.9899999999998"/>
  </r>
  <r>
    <n v="228"/>
    <s v="RDT2023042899"/>
    <x v="0"/>
    <x v="2"/>
    <x v="6"/>
    <s v="United Kingdom"/>
    <s v="Sri Lanka"/>
    <x v="1"/>
    <s v="Mr Geoffrey  White"/>
    <s v="geoffjwhite@googlemail.com"/>
    <d v="2023-04-19T00:00:00"/>
    <d v="2023-08-12T00:00:00"/>
    <d v="2023-08-27T00:00:00"/>
    <n v="15"/>
    <s v="USD"/>
    <n v="11940"/>
    <m/>
    <x v="2"/>
    <x v="7"/>
    <n v="11940"/>
  </r>
  <r>
    <n v="229"/>
    <s v="RDT2023042892"/>
    <x v="0"/>
    <x v="0"/>
    <x v="4"/>
    <s v="United Kingdom"/>
    <s v="Sri Lanka"/>
    <x v="1"/>
    <s v="Mr Jonathan Harry Jenkins"/>
    <s v="jjenkins@choirschool.com"/>
    <d v="2023-04-13T00:00:00"/>
    <d v="2023-08-10T00:00:00"/>
    <d v="2023-08-25T00:00:00"/>
    <n v="15"/>
    <s v="USD"/>
    <n v="13661.7"/>
    <m/>
    <x v="2"/>
    <x v="7"/>
    <n v="13661.7"/>
  </r>
  <r>
    <n v="230"/>
    <s v="SLIS2023042887"/>
    <x v="1"/>
    <x v="3"/>
    <x v="3"/>
    <s v="United States of America"/>
    <s v="Sri Lanka"/>
    <x v="0"/>
    <s v="Ms Sophie  Jacob"/>
    <s v="sophieisabeljacob@gmail.com"/>
    <d v="2023-04-10T00:00:00"/>
    <d v="2024-01-02T00:00:00"/>
    <d v="2024-01-15T00:00:00"/>
    <n v="13"/>
    <s v="USD"/>
    <n v="16517.27"/>
    <m/>
    <x v="0"/>
    <x v="2"/>
    <n v="16517.27"/>
  </r>
  <r>
    <n v="231"/>
    <s v="SLIS2023042885"/>
    <x v="1"/>
    <x v="3"/>
    <x v="7"/>
    <s v="France"/>
    <s v="Sri Lanka"/>
    <x v="14"/>
    <s v="Mrs CATHERINE LA GORGUE DE ROSNY"/>
    <s v="cderosny@orange.fr"/>
    <d v="2023-04-07T00:00:00"/>
    <d v="2023-06-07T00:00:00"/>
    <d v="2023-06-14T00:00:00"/>
    <n v="7"/>
    <s v="USD"/>
    <n v="4034.89"/>
    <m/>
    <x v="2"/>
    <x v="9"/>
    <n v="4034.89"/>
  </r>
  <r>
    <n v="232"/>
    <s v="SLIS2023042883"/>
    <x v="1"/>
    <x v="3"/>
    <x v="7"/>
    <s v="Spain"/>
    <s v="Sri Lanka"/>
    <x v="18"/>
    <s v="Mrs SILVIA  DIAZ FRANCHI"/>
    <s v="silviadfranchy@gmail.com"/>
    <d v="2023-04-07T00:00:00"/>
    <d v="2023-11-28T00:00:00"/>
    <d v="2023-12-12T00:00:00"/>
    <n v="14"/>
    <s v="USD"/>
    <n v="6289.24"/>
    <m/>
    <x v="2"/>
    <x v="4"/>
    <n v="6289.24"/>
  </r>
  <r>
    <n v="233"/>
    <s v="SLIS2023042879"/>
    <x v="1"/>
    <x v="3"/>
    <x v="8"/>
    <s v="Spain"/>
    <s v="Sri Lanka"/>
    <x v="18"/>
    <s v="Mr Cuqui Silva"/>
    <s v="cuqui.silvatoldao@gmail.com"/>
    <d v="2023-04-06T00:00:00"/>
    <d v="2023-04-12T00:00:00"/>
    <d v="2023-04-12T00:00:00"/>
    <n v="0"/>
    <s v="USD"/>
    <n v="1049.99"/>
    <m/>
    <x v="2"/>
    <x v="11"/>
    <n v="1049.99"/>
  </r>
  <r>
    <n v="234"/>
    <s v="RDT2023042873"/>
    <x v="0"/>
    <x v="3"/>
    <x v="0"/>
    <s v="United Kingdom"/>
    <s v="Sri Lanka"/>
    <x v="1"/>
    <s v="Mrs Jane Benney"/>
    <s v="jane.benney@gmail.com"/>
    <d v="2023-04-04T00:00:00"/>
    <d v="2023-07-13T00:00:00"/>
    <d v="2023-07-28T00:00:00"/>
    <n v="15"/>
    <s v="USD"/>
    <n v="4453.67"/>
    <m/>
    <x v="2"/>
    <x v="8"/>
    <n v="4453.67"/>
  </r>
  <r>
    <n v="235"/>
    <s v="SLIS2023032857"/>
    <x v="1"/>
    <x v="2"/>
    <x v="2"/>
    <s v="United Kingdom"/>
    <s v="Sri Lanka"/>
    <x v="1"/>
    <s v="Mr Arul  Kanagarajah"/>
    <s v="aganeshan@hotmail.com"/>
    <d v="2023-03-29T00:00:00"/>
    <d v="2023-04-17T00:00:00"/>
    <d v="2023-04-22T00:00:00"/>
    <n v="5"/>
    <s v="USD"/>
    <n v="3899.4"/>
    <m/>
    <x v="2"/>
    <x v="11"/>
    <n v="3899.4"/>
  </r>
  <r>
    <n v="236"/>
    <s v="RDT2023032852"/>
    <x v="0"/>
    <x v="0"/>
    <x v="3"/>
    <s v="United Kingdom"/>
    <s v="Sri Lanka"/>
    <x v="1"/>
    <s v="Mrs Patricia  Rolt"/>
    <s v="roltp@hotmail.com"/>
    <d v="2023-03-26T00:00:00"/>
    <d v="2024-02-03T00:00:00"/>
    <d v="2024-02-18T00:00:00"/>
    <n v="15"/>
    <s v="USD"/>
    <n v="7569.5"/>
    <m/>
    <x v="0"/>
    <x v="1"/>
    <n v="7569.5"/>
  </r>
  <r>
    <n v="237"/>
    <s v="RDT2023032851"/>
    <x v="0"/>
    <x v="3"/>
    <x v="3"/>
    <s v="United Kingdom"/>
    <s v="Sri Lanka"/>
    <x v="1"/>
    <s v="Mr Allan Mustafa"/>
    <s v="seap-one@live.com"/>
    <d v="2023-03-26T00:00:00"/>
    <d v="2023-04-29T00:00:00"/>
    <d v="2023-05-07T00:00:00"/>
    <n v="8"/>
    <s v="USD"/>
    <n v="1154.47"/>
    <m/>
    <x v="2"/>
    <x v="11"/>
    <n v="1154.47"/>
  </r>
  <r>
    <n v="238"/>
    <s v="RDT2023032844"/>
    <x v="0"/>
    <x v="3"/>
    <x v="4"/>
    <s v="United Kingdom"/>
    <s v="Sri Lanka"/>
    <x v="1"/>
    <s v="Ms Lucille  De Silva"/>
    <s v="lucilledesilva@icloud.com"/>
    <d v="2023-03-24T00:00:00"/>
    <d v="2023-07-20T00:00:00"/>
    <d v="2023-08-13T00:00:00"/>
    <n v="24"/>
    <s v="USD"/>
    <n v="20935.79"/>
    <m/>
    <x v="2"/>
    <x v="8"/>
    <n v="20935.79"/>
  </r>
  <r>
    <n v="239"/>
    <s v="RDT2023032839"/>
    <x v="0"/>
    <x v="5"/>
    <x v="3"/>
    <s v="Sri Lanka"/>
    <s v="Sri Lanka"/>
    <x v="9"/>
    <s v="Mr Ashan Wijewickrema"/>
    <s v="ashan@reddottours.com"/>
    <d v="2023-03-22T00:00:00"/>
    <d v="2023-03-26T00:00:00"/>
    <d v="2023-03-27T00:00:00"/>
    <n v="1"/>
    <s v="LKR"/>
    <n v="0"/>
    <m/>
    <x v="2"/>
    <x v="0"/>
    <n v="0"/>
  </r>
  <r>
    <n v="240"/>
    <s v="SLIS2023032831"/>
    <x v="1"/>
    <x v="3"/>
    <x v="8"/>
    <s v="United States of America"/>
    <s v="Sri Lanka"/>
    <x v="0"/>
    <s v="Mr Israel Shaked"/>
    <s v="ishaked@michel-shaked.com"/>
    <d v="2023-03-21T00:00:00"/>
    <d v="2023-04-05T00:00:00"/>
    <d v="2023-04-17T00:00:00"/>
    <n v="12"/>
    <s v="USD"/>
    <n v="10032.98"/>
    <m/>
    <x v="2"/>
    <x v="11"/>
    <n v="10032.98"/>
  </r>
  <r>
    <n v="241"/>
    <s v="RDT2023032830"/>
    <x v="0"/>
    <x v="0"/>
    <x v="4"/>
    <s v="United Kingdom"/>
    <s v="Sri Lanka"/>
    <x v="1"/>
    <s v="Mr David  Edwin Jeyakumar"/>
    <s v="djeyakumar@gmail.com"/>
    <d v="2023-03-21T00:00:00"/>
    <d v="2023-08-14T00:00:00"/>
    <d v="2023-09-10T00:00:00"/>
    <n v="27"/>
    <s v="USD"/>
    <n v="3725.06"/>
    <m/>
    <x v="2"/>
    <x v="7"/>
    <n v="3725.06"/>
  </r>
  <r>
    <n v="242"/>
    <s v="RDT2023032828"/>
    <x v="0"/>
    <x v="0"/>
    <x v="4"/>
    <s v="United Kingdom"/>
    <s v="Sri Lanka"/>
    <x v="1"/>
    <s v="Mrs Bernadette             De Silva"/>
    <s v="bernieandrob@ntlworld.com"/>
    <d v="2023-03-20T00:00:00"/>
    <d v="2023-07-20T00:00:00"/>
    <d v="2023-08-06T00:00:00"/>
    <n v="17"/>
    <s v="USD"/>
    <n v="24924.29"/>
    <m/>
    <x v="2"/>
    <x v="8"/>
    <n v="24924.29"/>
  </r>
  <r>
    <n v="243"/>
    <s v="RDT2023032826"/>
    <x v="0"/>
    <x v="0"/>
    <x v="3"/>
    <s v="United Kingdom"/>
    <s v="Sri Lanka"/>
    <x v="1"/>
    <s v="Ms Elisabeth  Spearing"/>
    <s v="Lizzies100@me.com"/>
    <d v="2023-03-20T00:00:00"/>
    <d v="2023-04-28T00:00:00"/>
    <d v="2023-05-13T00:00:00"/>
    <n v="15"/>
    <s v="USD"/>
    <n v="7884.57"/>
    <m/>
    <x v="2"/>
    <x v="11"/>
    <n v="7884.57"/>
  </r>
  <r>
    <n v="244"/>
    <s v="RDT2023032820"/>
    <x v="0"/>
    <x v="0"/>
    <x v="3"/>
    <s v="Saudi Arabia"/>
    <s v="Sri Lanka"/>
    <x v="13"/>
    <s v="Mr Ciaran  Crowley"/>
    <s v="Ciarancrowley13@gmail.com"/>
    <d v="2023-03-17T00:00:00"/>
    <d v="2023-04-20T00:00:00"/>
    <d v="2023-04-27T00:00:00"/>
    <n v="7"/>
    <s v="USD"/>
    <n v="4437.3"/>
    <m/>
    <x v="2"/>
    <x v="11"/>
    <n v="4437.3"/>
  </r>
  <r>
    <n v="245"/>
    <s v="SLIS2023032813"/>
    <x v="1"/>
    <x v="3"/>
    <x v="8"/>
    <s v="Canada"/>
    <s v="Sri Lanka"/>
    <x v="5"/>
    <s v="Mrs Lori Robertson"/>
    <s v="lorirobertson649@gmail.com"/>
    <d v="2023-03-13T00:00:00"/>
    <d v="2023-04-06T00:00:00"/>
    <d v="2023-04-17T00:00:00"/>
    <n v="11"/>
    <s v="USD"/>
    <n v="7020.71"/>
    <m/>
    <x v="2"/>
    <x v="11"/>
    <n v="7020.71"/>
  </r>
  <r>
    <n v="246"/>
    <s v="RDT2023032812"/>
    <x v="0"/>
    <x v="0"/>
    <x v="3"/>
    <s v="United Kingdom"/>
    <s v="Sri Lanka"/>
    <x v="1"/>
    <s v="Mrs Patricia  Rolt"/>
    <s v="roltp@hotmail.com"/>
    <d v="2023-03-13T00:00:00"/>
    <d v="2024-02-03T00:00:00"/>
    <d v="2024-02-03T00:00:00"/>
    <n v="0"/>
    <s v="USD"/>
    <n v="2765"/>
    <m/>
    <x v="0"/>
    <x v="1"/>
    <n v="2765"/>
  </r>
  <r>
    <n v="247"/>
    <s v="RDT2023032810"/>
    <x v="0"/>
    <x v="0"/>
    <x v="0"/>
    <s v="United Kingdom"/>
    <s v="Sri Lanka"/>
    <x v="1"/>
    <s v="Mrs Jennifer Lindsay-Hoyle"/>
    <s v="jennylh@hotmail.co.uk"/>
    <d v="2023-03-16T00:00:00"/>
    <d v="2023-12-21T00:00:00"/>
    <d v="2024-01-05T00:00:00"/>
    <n v="15"/>
    <s v="USD"/>
    <n v="15422.98"/>
    <m/>
    <x v="2"/>
    <x v="3"/>
    <n v="15422.98"/>
  </r>
  <r>
    <n v="248"/>
    <s v="RDT2023032809"/>
    <x v="0"/>
    <x v="0"/>
    <x v="4"/>
    <s v="United Kingdom"/>
    <s v="Sri Lanka"/>
    <x v="1"/>
    <s v="Ms Erene Anoma Damayanthie Banks"/>
    <s v="erene_anoma@hotmail.co.uk"/>
    <d v="2023-03-12T00:00:00"/>
    <d v="2024-01-13T00:00:00"/>
    <d v="2024-01-26T00:00:00"/>
    <n v="13"/>
    <s v="USD"/>
    <n v="8345.25"/>
    <m/>
    <x v="0"/>
    <x v="2"/>
    <n v="8345.25"/>
  </r>
  <r>
    <n v="249"/>
    <s v="RDT2023032805"/>
    <x v="0"/>
    <x v="0"/>
    <x v="0"/>
    <s v="Canada"/>
    <s v="Sri Lanka"/>
    <x v="5"/>
    <s v="Mr Andrew Liss"/>
    <s v="andrewdliss@gmail.com"/>
    <d v="2023-03-09T00:00:00"/>
    <d v="2023-03-28T00:00:00"/>
    <d v="2023-04-23T00:00:00"/>
    <n v="26"/>
    <s v="USD"/>
    <n v="7083.56"/>
    <m/>
    <x v="2"/>
    <x v="0"/>
    <n v="7083.56"/>
  </r>
  <r>
    <n v="250"/>
    <s v="SLIS2023032804"/>
    <x v="1"/>
    <x v="3"/>
    <x v="8"/>
    <s v="Sri Lanka"/>
    <s v="Sri Lanka"/>
    <x v="9"/>
    <s v="Mr Max Planck Foundation Lawyers&amp;#039; Workshop"/>
    <s v="brunn@mpfpr.de"/>
    <d v="2023-03-09T00:00:00"/>
    <d v="2023-04-21T00:00:00"/>
    <d v="2023-04-23T00:00:00"/>
    <n v="2"/>
    <s v="USD"/>
    <n v="8820"/>
    <m/>
    <x v="2"/>
    <x v="11"/>
    <n v="8820"/>
  </r>
  <r>
    <n v="251"/>
    <s v="SLIS2023032803"/>
    <x v="1"/>
    <x v="3"/>
    <x v="8"/>
    <s v="Sri Lanka"/>
    <s v="Sri Lanka"/>
    <x v="9"/>
    <s v="Mr Max Planck Foundation Judges&amp;#039; Workshop"/>
    <s v="brunn@mpfpr.de"/>
    <d v="2023-03-09T00:00:00"/>
    <d v="2023-04-17T00:00:00"/>
    <d v="2023-04-21T00:00:00"/>
    <n v="4"/>
    <s v="USD"/>
    <n v="10052"/>
    <m/>
    <x v="2"/>
    <x v="11"/>
    <n v="10052"/>
  </r>
  <r>
    <n v="252"/>
    <s v="RDT2023032802"/>
    <x v="0"/>
    <x v="1"/>
    <x v="4"/>
    <s v="Sri Lanka"/>
    <s v="Sri Lanka"/>
    <x v="9"/>
    <s v="Ms Lahiru Kularatne"/>
    <s v="lahiru@reddottours.com"/>
    <d v="2023-03-08T00:00:00"/>
    <d v="2023-03-12T00:00:00"/>
    <d v="2023-03-14T00:00:00"/>
    <n v="2"/>
    <s v="USD"/>
    <n v="265"/>
    <m/>
    <x v="2"/>
    <x v="0"/>
    <n v="265"/>
  </r>
  <r>
    <n v="253"/>
    <s v="SLIS2023032801"/>
    <x v="1"/>
    <x v="3"/>
    <x v="8"/>
    <s v="Sri Lanka"/>
    <s v="Sri Lanka"/>
    <x v="9"/>
    <s v="Mr Max Planck Foundation SC Workshop"/>
    <s v="brunn@mpfpr.de"/>
    <d v="2023-03-08T00:00:00"/>
    <d v="2023-04-27T00:00:00"/>
    <d v="2023-04-29T00:00:00"/>
    <n v="2"/>
    <s v="USD"/>
    <n v="9936"/>
    <m/>
    <x v="2"/>
    <x v="11"/>
    <n v="9936"/>
  </r>
  <r>
    <n v="254"/>
    <s v="SLIS2023032797"/>
    <x v="1"/>
    <x v="0"/>
    <x v="8"/>
    <s v="United States of America"/>
    <s v="Sri Lanka"/>
    <x v="0"/>
    <s v="Mr Mohan Sivaloganathan"/>
    <s v="m.sivaloganathan@gmail.com"/>
    <d v="2023-03-03T00:00:00"/>
    <d v="2023-03-07T00:00:00"/>
    <d v="2023-03-08T00:00:00"/>
    <n v="1"/>
    <s v="USD"/>
    <n v="64"/>
    <m/>
    <x v="2"/>
    <x v="0"/>
    <n v="64"/>
  </r>
  <r>
    <n v="255"/>
    <s v="RDT2023032794"/>
    <x v="0"/>
    <x v="0"/>
    <x v="8"/>
    <s v="United Kingdom"/>
    <s v="Sri Lanka"/>
    <x v="1"/>
    <s v="Mr Roger Midwood"/>
    <s v="rnmidwood@gmail.com"/>
    <d v="2023-03-02T00:00:00"/>
    <d v="2023-03-13T00:00:00"/>
    <d v="2023-03-31T00:00:00"/>
    <n v="18"/>
    <s v="USD"/>
    <n v="2235.81"/>
    <m/>
    <x v="2"/>
    <x v="0"/>
    <n v="2235.81"/>
  </r>
  <r>
    <n v="256"/>
    <s v="SLIS2023022784"/>
    <x v="1"/>
    <x v="0"/>
    <x v="7"/>
    <s v="Spain"/>
    <s v="Sri Lanka"/>
    <x v="18"/>
    <s v="Ms ANA PA&amp;Ntilde;OS CORREAS"/>
    <s v="panosfernandez@hotmail.com"/>
    <d v="2023-02-28T00:00:00"/>
    <d v="2023-09-26T00:00:00"/>
    <d v="2023-10-05T00:00:00"/>
    <n v="9"/>
    <s v="USD"/>
    <n v="5065.38"/>
    <m/>
    <x v="2"/>
    <x v="6"/>
    <n v="5065.38"/>
  </r>
  <r>
    <n v="257"/>
    <s v="RDT2023022778"/>
    <x v="0"/>
    <x v="0"/>
    <x v="4"/>
    <s v="United Kingdom"/>
    <s v="Sri Lanka"/>
    <x v="1"/>
    <s v="Mrs Phoebe  Samantha Matheson"/>
    <s v="+44 (0) 7825 196 517"/>
    <d v="2023-02-27T00:00:00"/>
    <d v="2023-03-27T00:00:00"/>
    <d v="2023-03-31T00:00:00"/>
    <n v="4"/>
    <s v="USD"/>
    <n v="1235.8599999999999"/>
    <m/>
    <x v="2"/>
    <x v="0"/>
    <n v="1235.8599999999999"/>
  </r>
  <r>
    <n v="258"/>
    <s v="RDT2023022772"/>
    <x v="0"/>
    <x v="0"/>
    <x v="3"/>
    <s v="United Kingdom"/>
    <s v="Sri Lanka"/>
    <x v="1"/>
    <s v="Ms Imogen  Stanley"/>
    <s v="imogenstanley@googlemail.com"/>
    <d v="2023-02-23T00:00:00"/>
    <d v="2023-05-23T00:00:00"/>
    <d v="2023-06-05T00:00:00"/>
    <n v="13"/>
    <s v="USD"/>
    <n v="4978.2700000000004"/>
    <m/>
    <x v="2"/>
    <x v="10"/>
    <n v="4978.2700000000004"/>
  </r>
  <r>
    <n v="259"/>
    <s v="RDT2023022771"/>
    <x v="0"/>
    <x v="0"/>
    <x v="3"/>
    <s v="Australia"/>
    <s v="Sri Lanka"/>
    <x v="0"/>
    <s v="Mrs Katherine Eisenlohr"/>
    <s v="eisenlohr@gmail.com"/>
    <d v="2023-02-23T00:00:00"/>
    <d v="2023-04-14T00:00:00"/>
    <d v="2023-04-23T00:00:00"/>
    <n v="9"/>
    <s v="USD"/>
    <n v="4785.62"/>
    <m/>
    <x v="2"/>
    <x v="11"/>
    <n v="4785.62"/>
  </r>
  <r>
    <n v="260"/>
    <s v="RDT2023022768"/>
    <x v="0"/>
    <x v="3"/>
    <x v="4"/>
    <s v="Sri Lanka"/>
    <s v="Sri Lanka"/>
    <x v="1"/>
    <s v="Mr Timothy  W.F . Jacobson"/>
    <s v="twf.jacobson@gmail.com"/>
    <d v="2023-02-22T00:00:00"/>
    <d v="2023-03-17T00:00:00"/>
    <d v="2023-03-28T00:00:00"/>
    <n v="11"/>
    <s v="USD"/>
    <n v="5339.66"/>
    <m/>
    <x v="2"/>
    <x v="0"/>
    <n v="5339.66"/>
  </r>
  <r>
    <n v="261"/>
    <s v="RDT2023022759"/>
    <x v="0"/>
    <x v="0"/>
    <x v="4"/>
    <s v="United Kingdom"/>
    <s v="Sri Lanka"/>
    <x v="1"/>
    <s v="Mrs Camilla                               Louise Sandberg"/>
    <s v="milly@sandberg.co.uk"/>
    <d v="2023-02-21T00:00:00"/>
    <d v="2023-03-11T00:00:00"/>
    <d v="2023-03-21T00:00:00"/>
    <n v="10"/>
    <s v="USD"/>
    <n v="9076.4699999999993"/>
    <m/>
    <x v="2"/>
    <x v="0"/>
    <n v="9076.4699999999993"/>
  </r>
  <r>
    <n v="262"/>
    <s v="SLIS2023022755"/>
    <x v="1"/>
    <x v="0"/>
    <x v="8"/>
    <s v="Hong Kong"/>
    <s v="Sri Lanka"/>
    <x v="5"/>
    <s v="Mrs Stefanie Phillips"/>
    <s v="stef.phillips@gmail.com"/>
    <d v="2023-02-18T00:00:00"/>
    <d v="2023-04-01T00:00:00"/>
    <d v="2023-04-09T00:00:00"/>
    <n v="8"/>
    <s v="USD"/>
    <n v="11801.36"/>
    <m/>
    <x v="2"/>
    <x v="11"/>
    <n v="11801.36"/>
  </r>
  <r>
    <n v="263"/>
    <s v="SLIS2023022754"/>
    <x v="1"/>
    <x v="0"/>
    <x v="2"/>
    <s v="United Kingdom"/>
    <s v="Sri Lanka"/>
    <x v="1"/>
    <s v="Mr Ben Summerfield"/>
    <s v="bensumms1@gmail.com"/>
    <d v="2023-02-18T00:00:00"/>
    <d v="2023-12-21T00:00:00"/>
    <d v="2024-01-04T00:00:00"/>
    <n v="14"/>
    <s v="USD"/>
    <n v="27427.48"/>
    <m/>
    <x v="2"/>
    <x v="3"/>
    <n v="27427.48"/>
  </r>
  <r>
    <n v="264"/>
    <s v="RDT2023022725"/>
    <x v="0"/>
    <x v="0"/>
    <x v="4"/>
    <s v="United Kingdom"/>
    <s v="Sri Lanka"/>
    <x v="1"/>
    <s v="Ms Tania Selina Cuss"/>
    <s v="wcuss8@btinternet.com"/>
    <d v="2023-02-08T00:00:00"/>
    <d v="2023-04-14T00:00:00"/>
    <d v="2023-04-28T00:00:00"/>
    <n v="14"/>
    <s v="USD"/>
    <n v="6607.81"/>
    <m/>
    <x v="2"/>
    <x v="11"/>
    <n v="6607.81"/>
  </r>
  <r>
    <n v="265"/>
    <s v="RDT2023022723"/>
    <x v="0"/>
    <x v="1"/>
    <x v="0"/>
    <s v="Sri Lanka"/>
    <s v="Sri Lanka"/>
    <x v="9"/>
    <s v="Ms Dulmini Ekanayake"/>
    <s v="dulmini@reddottours.com"/>
    <d v="2023-02-08T00:00:00"/>
    <d v="2023-02-20T00:00:00"/>
    <d v="2023-02-22T00:00:00"/>
    <n v="2"/>
    <s v="USD"/>
    <n v="115"/>
    <m/>
    <x v="2"/>
    <x v="1"/>
    <n v="115"/>
  </r>
  <r>
    <n v="266"/>
    <s v="RDT2023022715"/>
    <x v="0"/>
    <x v="2"/>
    <x v="4"/>
    <s v="Spain"/>
    <s v="Sri Lanka"/>
    <x v="18"/>
    <s v="Mr Francesc  Carulla"/>
    <s v="xiscocarulla@gmail.com"/>
    <d v="2023-02-06T00:00:00"/>
    <d v="2023-12-06T00:00:00"/>
    <d v="2023-12-10T00:00:00"/>
    <n v="4"/>
    <s v="USD"/>
    <n v="17295"/>
    <m/>
    <x v="2"/>
    <x v="3"/>
    <n v="17295"/>
  </r>
  <r>
    <n v="267"/>
    <s v="RDT2023022713"/>
    <x v="0"/>
    <x v="0"/>
    <x v="4"/>
    <s v="United Kingdom"/>
    <s v="Sri Lanka"/>
    <x v="1"/>
    <s v="Mrs Sharon  Jepp"/>
    <s v="sharonjepp7@gmail.com"/>
    <d v="2023-02-06T00:00:00"/>
    <d v="2024-01-12T00:00:00"/>
    <d v="2024-01-18T00:00:00"/>
    <n v="6"/>
    <s v="USD"/>
    <n v="3292.35"/>
    <m/>
    <x v="0"/>
    <x v="2"/>
    <n v="3292.35"/>
  </r>
  <r>
    <n v="268"/>
    <s v="RDT2023022711"/>
    <x v="0"/>
    <x v="0"/>
    <x v="4"/>
    <s v="United Kingdom"/>
    <s v="Sri Lanka"/>
    <x v="1"/>
    <s v="Dr Rodney  Stewart Bexton"/>
    <s v="r.s.bexton@btinternet.com"/>
    <d v="2023-02-06T00:00:00"/>
    <d v="2024-01-22T00:00:00"/>
    <d v="2024-02-05T00:00:00"/>
    <n v="14"/>
    <s v="USD"/>
    <n v="11103.09"/>
    <m/>
    <x v="0"/>
    <x v="2"/>
    <n v="11103.09"/>
  </r>
  <r>
    <n v="269"/>
    <s v="RDT2023022707"/>
    <x v="0"/>
    <x v="3"/>
    <x v="8"/>
    <s v="India"/>
    <s v="Sri Lanka"/>
    <x v="12"/>
    <s v="Mrs Tanvi Shrimal"/>
    <s v="tanvi.kamalia@gmail.com"/>
    <d v="2023-02-02T00:00:00"/>
    <d v="2023-06-01T00:00:00"/>
    <d v="2023-06-12T00:00:00"/>
    <n v="11"/>
    <s v="USD"/>
    <n v="9396.5"/>
    <m/>
    <x v="2"/>
    <x v="9"/>
    <n v="9396.5"/>
  </r>
  <r>
    <n v="270"/>
    <s v="SLIS2023022705"/>
    <x v="1"/>
    <x v="3"/>
    <x v="7"/>
    <s v="Spain"/>
    <s v="Sri Lanka"/>
    <x v="18"/>
    <s v="Mr CARLOS VALIENTE"/>
    <s v="cvaliente@014media.com"/>
    <d v="2023-02-01T00:00:00"/>
    <d v="2023-04-02T00:00:00"/>
    <d v="2023-04-10T00:00:00"/>
    <n v="8"/>
    <s v="USD"/>
    <n v="16257.51"/>
    <m/>
    <x v="2"/>
    <x v="11"/>
    <n v="16257.51"/>
  </r>
  <r>
    <n v="271"/>
    <s v="RDT2023022703"/>
    <x v="0"/>
    <x v="0"/>
    <x v="3"/>
    <s v="United States of America"/>
    <s v="Sri Lanka"/>
    <x v="0"/>
    <s v="Ms Loralee Wilson"/>
    <s v="ljwilso2@illinois.edu"/>
    <d v="2023-02-02T00:00:00"/>
    <d v="2023-05-01T00:00:00"/>
    <d v="2023-05-14T00:00:00"/>
    <n v="13"/>
    <s v="USD"/>
    <n v="16487.84"/>
    <m/>
    <x v="2"/>
    <x v="10"/>
    <n v="16487.84"/>
  </r>
  <r>
    <n v="272"/>
    <s v="RDT2023012692"/>
    <x v="0"/>
    <x v="0"/>
    <x v="3"/>
    <s v="United Kingdom"/>
    <s v="Sri Lanka"/>
    <x v="1"/>
    <s v="Mr Hardev Pandha"/>
    <s v="pandha@yahoo.com"/>
    <d v="2023-01-30T00:00:00"/>
    <d v="2023-07-29T00:00:00"/>
    <d v="2023-08-11T00:00:00"/>
    <n v="13"/>
    <s v="USD"/>
    <n v="8592.77"/>
    <m/>
    <x v="2"/>
    <x v="8"/>
    <n v="8592.77"/>
  </r>
  <r>
    <n v="273"/>
    <s v="RDT2023012691"/>
    <x v="0"/>
    <x v="0"/>
    <x v="3"/>
    <s v="Thailand"/>
    <s v="Sri Lanka"/>
    <x v="1"/>
    <s v="Ms Hanna  Blakie"/>
    <s v="hblakie@gmail.com"/>
    <d v="2023-01-29T00:00:00"/>
    <d v="2023-06-29T00:00:00"/>
    <d v="2023-07-08T00:00:00"/>
    <n v="9"/>
    <s v="USD"/>
    <n v="2571.96"/>
    <m/>
    <x v="2"/>
    <x v="9"/>
    <n v="2571.96"/>
  </r>
  <r>
    <n v="274"/>
    <s v="RDT2023012690"/>
    <x v="0"/>
    <x v="0"/>
    <x v="3"/>
    <s v="United Kingdom"/>
    <s v="India"/>
    <x v="1"/>
    <s v="Mrs Tanya Louise  Cook"/>
    <s v="Tanyahunter93@gmail.com"/>
    <d v="2023-01-29T00:00:00"/>
    <d v="2023-04-01T00:00:00"/>
    <d v="2023-04-01T00:00:00"/>
    <n v="0"/>
    <s v="USD"/>
    <n v="2849.78"/>
    <m/>
    <x v="2"/>
    <x v="11"/>
    <n v="2849.78"/>
  </r>
  <r>
    <n v="275"/>
    <s v="RDT2023012688"/>
    <x v="0"/>
    <x v="0"/>
    <x v="3"/>
    <s v="United Kingdom"/>
    <s v="Sri Lanka"/>
    <x v="1"/>
    <s v="Ms Rebecca  Edgley-Tricks"/>
    <s v="Becki1893@hotmail.co.uk"/>
    <d v="2023-01-28T00:00:00"/>
    <m/>
    <d v="2023-06-30T00:00:00"/>
    <m/>
    <s v="USD"/>
    <n v="5780.45"/>
    <m/>
    <x v="1"/>
    <x v="2"/>
    <n v="5780.45"/>
  </r>
  <r>
    <n v="276"/>
    <s v="RDT2023012687"/>
    <x v="0"/>
    <x v="3"/>
    <x v="4"/>
    <s v="United Kingdom"/>
    <s v="Sri Lanka"/>
    <x v="1"/>
    <s v="Mrs Caroline  Margaret Harvey"/>
    <s v="carrieharvey@btconnect.com"/>
    <d v="2023-01-27T00:00:00"/>
    <d v="2023-02-13T00:00:00"/>
    <d v="2023-02-24T00:00:00"/>
    <n v="11"/>
    <s v="USD"/>
    <n v="3020.53"/>
    <m/>
    <x v="2"/>
    <x v="1"/>
    <n v="3020.53"/>
  </r>
  <r>
    <n v="277"/>
    <s v="SLIS2023012684"/>
    <x v="1"/>
    <x v="3"/>
    <x v="8"/>
    <s v="United States of America"/>
    <s v="Sri Lanka"/>
    <x v="0"/>
    <s v="Mr Amar Budarapu"/>
    <s v="Amar.Budarapu@bakermckenzie.com"/>
    <d v="2023-01-27T00:00:00"/>
    <m/>
    <d v="2023-03-13T00:00:00"/>
    <m/>
    <s v="USD"/>
    <n v="22783.86"/>
    <m/>
    <x v="1"/>
    <x v="2"/>
    <n v="22783.86"/>
  </r>
  <r>
    <n v="278"/>
    <s v="RDT2023012682"/>
    <x v="0"/>
    <x v="3"/>
    <x v="4"/>
    <s v="United Kingdom"/>
    <s v="Sri Lanka"/>
    <x v="1"/>
    <s v="Mrs Nicola  Rhian Howells"/>
    <s v="barnowls2023@gmail.com"/>
    <d v="2023-01-26T00:00:00"/>
    <d v="2023-05-31T00:00:00"/>
    <d v="2023-06-19T00:00:00"/>
    <n v="19"/>
    <s v="USD"/>
    <n v="6839.07"/>
    <m/>
    <x v="2"/>
    <x v="10"/>
    <n v="6839.07"/>
  </r>
  <r>
    <n v="279"/>
    <s v="SLIS2023012681"/>
    <x v="1"/>
    <x v="3"/>
    <x v="7"/>
    <s v="Spain"/>
    <s v="Sri Lanka"/>
    <x v="18"/>
    <s v="Mr ANTONIO OPORTO DEL OLMO"/>
    <s v="a.oporto@icloud.com"/>
    <d v="2023-01-25T00:00:00"/>
    <d v="2023-02-09T00:00:00"/>
    <d v="2023-02-11T00:00:00"/>
    <n v="2"/>
    <s v="USD"/>
    <n v="4528"/>
    <m/>
    <x v="2"/>
    <x v="1"/>
    <n v="4528"/>
  </r>
  <r>
    <n v="280"/>
    <s v="SLIS2023012679"/>
    <x v="1"/>
    <x v="3"/>
    <x v="7"/>
    <s v="Spain"/>
    <s v="Sri Lanka"/>
    <x v="18"/>
    <s v="Mr ANTONIO OPORTO DEL OLMO"/>
    <s v="a.oporto@icloud.com"/>
    <d v="2023-01-24T00:00:00"/>
    <d v="2023-02-04T00:00:00"/>
    <d v="2023-02-09T00:00:00"/>
    <n v="5"/>
    <s v="USD"/>
    <n v="7374"/>
    <m/>
    <x v="2"/>
    <x v="1"/>
    <n v="7374"/>
  </r>
  <r>
    <n v="281"/>
    <s v="RDT2023012676"/>
    <x v="0"/>
    <x v="0"/>
    <x v="0"/>
    <s v="United States of America"/>
    <s v="Sri Lanka"/>
    <x v="0"/>
    <s v="Mr Paul Meitz"/>
    <s v="readymeitz@live.com"/>
    <d v="2023-01-23T00:00:00"/>
    <d v="2023-05-03T00:00:00"/>
    <d v="2023-05-16T00:00:00"/>
    <n v="13"/>
    <s v="USD"/>
    <n v="2888.59"/>
    <m/>
    <x v="2"/>
    <x v="10"/>
    <n v="2888.59"/>
  </r>
  <r>
    <n v="282"/>
    <s v="SLIS2023012672"/>
    <x v="1"/>
    <x v="7"/>
    <x v="8"/>
    <s v="United States of America"/>
    <s v="Sri Lanka"/>
    <x v="0"/>
    <s v="Mr David Zifkin"/>
    <s v="davidzifkin-2992086@inbound.zicasso.com&gt;"/>
    <d v="2023-01-19T00:00:00"/>
    <m/>
    <d v="2023-02-24T00:00:00"/>
    <m/>
    <s v="USD"/>
    <n v="16399.349999999999"/>
    <m/>
    <x v="1"/>
    <x v="2"/>
    <n v="16399.349999999999"/>
  </r>
  <r>
    <n v="283"/>
    <s v="RDT2023012663"/>
    <x v="0"/>
    <x v="3"/>
    <x v="3"/>
    <s v="United Kingdom"/>
    <s v="Sri Lanka"/>
    <x v="1"/>
    <s v="Mr Johnny Seymour"/>
    <s v="Johnnyseymour88@gmail.com"/>
    <d v="2023-01-17T00:00:00"/>
    <d v="2023-02-01T00:00:00"/>
    <d v="2023-02-11T00:00:00"/>
    <n v="10"/>
    <s v="USD"/>
    <n v="1657.17"/>
    <m/>
    <x v="2"/>
    <x v="1"/>
    <n v="1657.17"/>
  </r>
  <r>
    <n v="284"/>
    <s v="RDT2023012662"/>
    <x v="0"/>
    <x v="0"/>
    <x v="3"/>
    <s v="United Kingdom"/>
    <s v="Sri Lanka"/>
    <x v="1"/>
    <s v="Mrs Karen Elizabeth  Oldroyd"/>
    <s v="ke.oldroyd@gmail.com"/>
    <d v="2023-01-17T00:00:00"/>
    <d v="2023-07-22T00:00:00"/>
    <d v="2023-08-01T00:00:00"/>
    <n v="10"/>
    <s v="USD"/>
    <n v="5711.35"/>
    <m/>
    <x v="2"/>
    <x v="8"/>
    <n v="5711.35"/>
  </r>
  <r>
    <n v="285"/>
    <s v="RDT2023012661"/>
    <x v="0"/>
    <x v="3"/>
    <x v="3"/>
    <s v="Malta"/>
    <s v="Sri Lanka"/>
    <x v="3"/>
    <s v="Mr Jeffrey Miceli Demajo"/>
    <s v="jmicelidemajo@demajo.com"/>
    <d v="2023-01-17T00:00:00"/>
    <d v="2023-04-08T00:00:00"/>
    <d v="2023-04-14T00:00:00"/>
    <n v="6"/>
    <s v="USD"/>
    <n v="6999.5"/>
    <m/>
    <x v="2"/>
    <x v="11"/>
    <n v="6999.5"/>
  </r>
  <r>
    <n v="286"/>
    <s v="RDT2023012659"/>
    <x v="0"/>
    <x v="0"/>
    <x v="4"/>
    <s v="United Kingdom"/>
    <s v="Sri Lanka"/>
    <x v="1"/>
    <s v="Mr Daniel  Robert James Berry"/>
    <s v="Dan.berry@chep.com"/>
    <d v="2023-01-17T00:00:00"/>
    <d v="2023-04-03T00:00:00"/>
    <d v="2023-04-16T00:00:00"/>
    <n v="13"/>
    <s v="USD"/>
    <n v="10012.969999999999"/>
    <m/>
    <x v="2"/>
    <x v="11"/>
    <n v="10012.969999999999"/>
  </r>
  <r>
    <n v="287"/>
    <s v="RDT2023012657"/>
    <x v="0"/>
    <x v="0"/>
    <x v="5"/>
    <s v="United Kingdom"/>
    <s v="Sri Lanka"/>
    <x v="1"/>
    <s v="Ms Jessica Millington"/>
    <s v="jessmillington@hotmail.co.uk"/>
    <d v="2023-01-16T00:00:00"/>
    <m/>
    <d v="2023-08-06T00:00:00"/>
    <m/>
    <s v="GBP"/>
    <n v="6005.87"/>
    <m/>
    <x v="1"/>
    <x v="2"/>
    <n v="6005.87"/>
  </r>
  <r>
    <n v="288"/>
    <s v="RDT2023012655"/>
    <x v="0"/>
    <x v="0"/>
    <x v="3"/>
    <s v="United Kingdom"/>
    <s v="Sri Lanka"/>
    <x v="1"/>
    <s v="Ms Lucy  Tyrrell"/>
    <s v="lucy_tyrrell@hotmail.com"/>
    <d v="2023-01-16T00:00:00"/>
    <d v="2023-02-09T00:00:00"/>
    <d v="2023-02-23T00:00:00"/>
    <n v="14"/>
    <s v="USD"/>
    <n v="4200.04"/>
    <m/>
    <x v="2"/>
    <x v="1"/>
    <n v="4200.04"/>
  </r>
  <r>
    <n v="289"/>
    <s v="RDT2023012653"/>
    <x v="0"/>
    <x v="3"/>
    <x v="3"/>
    <s v="Switzerland"/>
    <s v="Sri Lanka"/>
    <x v="21"/>
    <s v="Mr Reto  Hartmann"/>
    <s v="reto.hartmann@aquilaswilken.ch"/>
    <d v="2023-01-14T00:00:00"/>
    <d v="2023-03-08T00:00:00"/>
    <d v="2023-03-17T00:00:00"/>
    <n v="9"/>
    <s v="USD"/>
    <n v="8287.91"/>
    <m/>
    <x v="2"/>
    <x v="0"/>
    <n v="8287.91"/>
  </r>
  <r>
    <n v="290"/>
    <s v="RDT2023012647"/>
    <x v="0"/>
    <x v="3"/>
    <x v="4"/>
    <s v="United Kingdom"/>
    <s v="Sri Lanka"/>
    <x v="1"/>
    <s v="Mrs Tamara  Sivanandan"/>
    <s v="tamarasiva@gmail.com"/>
    <d v="2023-01-13T00:00:00"/>
    <d v="2023-02-06T00:00:00"/>
    <d v="2023-02-18T00:00:00"/>
    <n v="12"/>
    <s v="USD"/>
    <n v="1565.76"/>
    <m/>
    <x v="2"/>
    <x v="1"/>
    <n v="1565.76"/>
  </r>
  <r>
    <n v="291"/>
    <s v="RDT2023012646"/>
    <x v="0"/>
    <x v="0"/>
    <x v="5"/>
    <s v="United Kingdom"/>
    <s v="Sri Lanka"/>
    <x v="1"/>
    <s v="Mrs Eve Tyers"/>
    <s v="evetyers@icloud.com"/>
    <d v="2023-01-13T00:00:00"/>
    <d v="2023-07-28T00:00:00"/>
    <d v="2023-08-09T00:00:00"/>
    <n v="12"/>
    <s v="GBP"/>
    <n v="5582.45"/>
    <m/>
    <x v="2"/>
    <x v="8"/>
    <n v="5582.45"/>
  </r>
  <r>
    <n v="292"/>
    <s v="RDT2023012643"/>
    <x v="0"/>
    <x v="0"/>
    <x v="4"/>
    <s v="United Kingdom"/>
    <s v="Sri Lanka"/>
    <x v="1"/>
    <s v="Ms Nicola  Mary-Lucie Smith"/>
    <s v="smithpreutz@gmail.com"/>
    <d v="2023-01-13T00:00:00"/>
    <d v="2023-03-03T00:00:00"/>
    <d v="2023-03-18T00:00:00"/>
    <n v="15"/>
    <s v="USD"/>
    <n v="8527.58"/>
    <m/>
    <x v="2"/>
    <x v="0"/>
    <n v="8527.58"/>
  </r>
  <r>
    <n v="293"/>
    <s v="RDT2023012641"/>
    <x v="0"/>
    <x v="0"/>
    <x v="3"/>
    <s v="United Kingdom"/>
    <s v="Sri Lanka"/>
    <x v="1"/>
    <s v="Mrs Diana Ivers"/>
    <s v="dianaivers@icloud.com"/>
    <d v="2023-01-12T00:00:00"/>
    <d v="2023-01-23T00:00:00"/>
    <d v="2023-01-26T00:00:00"/>
    <n v="3"/>
    <s v="USD"/>
    <n v="1129.6199999999999"/>
    <m/>
    <x v="2"/>
    <x v="2"/>
    <n v="1129.6199999999999"/>
  </r>
  <r>
    <n v="294"/>
    <s v="RDT2023012631"/>
    <x v="0"/>
    <x v="0"/>
    <x v="4"/>
    <s v="United States of America"/>
    <s v="Sri Lanka"/>
    <x v="0"/>
    <s v="Ms Christine   Elizabeth Kelsey"/>
    <s v="travelkelsey@gmail.com"/>
    <d v="2023-01-08T00:00:00"/>
    <d v="2023-02-09T00:00:00"/>
    <d v="2023-02-21T00:00:00"/>
    <n v="12"/>
    <s v="USD"/>
    <n v="2836.86"/>
    <m/>
    <x v="2"/>
    <x v="1"/>
    <n v="2836.86"/>
  </r>
  <r>
    <n v="295"/>
    <s v="RDT2023012630"/>
    <x v="0"/>
    <x v="0"/>
    <x v="3"/>
    <s v="United Kingdom"/>
    <s v="Sri Lanka"/>
    <x v="1"/>
    <s v="Mr Andrew Dickson"/>
    <s v="andrewd4774@btinternet.com"/>
    <d v="2023-01-07T00:00:00"/>
    <d v="2023-02-08T00:00:00"/>
    <d v="2023-02-25T00:00:00"/>
    <n v="17"/>
    <s v="USD"/>
    <n v="16059.49"/>
    <m/>
    <x v="2"/>
    <x v="1"/>
    <n v="16059.49"/>
  </r>
  <r>
    <n v="296"/>
    <s v="RDT2023012629"/>
    <x v="0"/>
    <x v="2"/>
    <x v="4"/>
    <s v="Germany"/>
    <s v="Sri Lanka"/>
    <x v="7"/>
    <s v="Ms Christine  Schneider"/>
    <s v="tine.daxberg@gmx.de"/>
    <d v="2023-01-05T00:00:00"/>
    <d v="2023-03-04T00:00:00"/>
    <d v="2023-03-18T00:00:00"/>
    <n v="14"/>
    <s v="USD"/>
    <n v="7728.18"/>
    <m/>
    <x v="2"/>
    <x v="0"/>
    <n v="7728.18"/>
  </r>
  <r>
    <n v="297"/>
    <s v="RDT2023012628"/>
    <x v="0"/>
    <x v="0"/>
    <x v="4"/>
    <s v="United Kingdom"/>
    <s v="Sri Lanka"/>
    <x v="1"/>
    <s v="Mrs Emma  Louise  Burch Kenyon"/>
    <s v="elbkenyon@gmail.com"/>
    <d v="2023-01-04T00:00:00"/>
    <d v="2023-03-23T00:00:00"/>
    <d v="2023-04-09T00:00:00"/>
    <n v="17"/>
    <s v="USD"/>
    <n v="10368.870000000001"/>
    <m/>
    <x v="2"/>
    <x v="0"/>
    <n v="10368.870000000001"/>
  </r>
  <r>
    <n v="298"/>
    <s v="SLIS2023012626"/>
    <x v="1"/>
    <x v="0"/>
    <x v="4"/>
    <s v="Australia"/>
    <s v="Sri Lanka"/>
    <x v="2"/>
    <s v="Ms Naina  Sen"/>
    <s v="info@nainasen.com.au"/>
    <d v="2023-01-03T00:00:00"/>
    <m/>
    <m/>
    <n v="0"/>
    <s v="USD"/>
    <n v="195"/>
    <m/>
    <x v="1"/>
    <x v="2"/>
    <n v="195"/>
  </r>
  <r>
    <n v="299"/>
    <s v="SLIS2022122617"/>
    <x v="1"/>
    <x v="3"/>
    <x v="8"/>
    <s v="United States of America"/>
    <s v="Sri Lanka"/>
    <x v="0"/>
    <s v="Ms Catherine Chumakov"/>
    <s v="catherine.chumakov@gmail.com"/>
    <d v="2022-12-23T00:00:00"/>
    <d v="2023-01-15T00:00:00"/>
    <d v="2023-01-21T00:00:00"/>
    <n v="6"/>
    <s v="USD"/>
    <n v="6175.13"/>
    <m/>
    <x v="2"/>
    <x v="2"/>
    <n v="6175.13"/>
  </r>
  <r>
    <n v="300"/>
    <s v="SLIS2022122616"/>
    <x v="1"/>
    <x v="0"/>
    <x v="3"/>
    <s v="Sri Lanka"/>
    <s v="Sri Lanka"/>
    <x v="14"/>
    <s v="Mr Jean Redon"/>
    <s v="jeanfrancoisredon@gmail.com"/>
    <d v="2022-12-23T00:00:00"/>
    <d v="2023-02-03T00:00:00"/>
    <d v="2023-02-11T00:00:00"/>
    <n v="8"/>
    <s v="USD"/>
    <n v="4439.28"/>
    <m/>
    <x v="2"/>
    <x v="1"/>
    <n v="4439.28"/>
  </r>
  <r>
    <n v="301"/>
    <s v="RDT2022122608"/>
    <x v="0"/>
    <x v="0"/>
    <x v="3"/>
    <s v="United Kingdom"/>
    <s v="Sri Lanka"/>
    <x v="1"/>
    <s v="Mr Timothy  Blenkin"/>
    <s v="tim@spella.co.uk"/>
    <d v="2022-12-20T00:00:00"/>
    <d v="2023-02-10T00:00:00"/>
    <d v="2023-02-21T00:00:00"/>
    <n v="11"/>
    <s v="USD"/>
    <n v="7381.57"/>
    <m/>
    <x v="2"/>
    <x v="1"/>
    <n v="7381.57"/>
  </r>
  <r>
    <n v="302"/>
    <s v="RDT2022122607"/>
    <x v="0"/>
    <x v="0"/>
    <x v="4"/>
    <s v="Spain"/>
    <s v="Sri Lanka"/>
    <x v="18"/>
    <s v="Ms Marta Bernabeu  Fresquet"/>
    <s v="marta.bernabeu.f@gmail.com"/>
    <d v="2022-12-20T00:00:00"/>
    <d v="2022-12-31T00:00:00"/>
    <d v="2023-01-07T00:00:00"/>
    <n v="7"/>
    <s v="USD"/>
    <n v="1559.38"/>
    <m/>
    <x v="3"/>
    <x v="3"/>
    <n v="1559.38"/>
  </r>
  <r>
    <n v="303"/>
    <s v="RDT2022122603"/>
    <x v="0"/>
    <x v="0"/>
    <x v="3"/>
    <s v="Australia"/>
    <s v="Sri Lanka"/>
    <x v="2"/>
    <s v="Mr Adam Edward Rose White"/>
    <s v="adam@atlasworkshops.com"/>
    <d v="2022-12-17T00:00:00"/>
    <d v="2022-12-19T00:00:00"/>
    <d v="2022-12-19T00:00:00"/>
    <n v="0"/>
    <s v="USD"/>
    <n v="254.9"/>
    <m/>
    <x v="3"/>
    <x v="3"/>
    <n v="254.9"/>
  </r>
  <r>
    <n v="304"/>
    <s v="RDT2022122600"/>
    <x v="0"/>
    <x v="0"/>
    <x v="3"/>
    <s v="United Kingdom"/>
    <s v="Sri Lanka"/>
    <x v="1"/>
    <s v="Mr Keith Elrick"/>
    <s v="keithelrick123@hotmail.co.uk"/>
    <d v="2022-12-16T00:00:00"/>
    <d v="2023-03-14T00:00:00"/>
    <d v="2023-03-25T00:00:00"/>
    <n v="11"/>
    <s v="USD"/>
    <n v="1364.6"/>
    <m/>
    <x v="2"/>
    <x v="0"/>
    <n v="1364.6"/>
  </r>
  <r>
    <n v="305"/>
    <s v="RDT2022122599"/>
    <x v="0"/>
    <x v="0"/>
    <x v="3"/>
    <s v="United Kingdom"/>
    <s v="Sri Lanka"/>
    <x v="1"/>
    <s v="Mr Nicholas Pocock"/>
    <s v="nick@hedgehogcover.com"/>
    <d v="2022-12-16T00:00:00"/>
    <d v="2023-02-03T00:00:00"/>
    <d v="2023-02-09T00:00:00"/>
    <n v="6"/>
    <s v="USD"/>
    <n v="651"/>
    <m/>
    <x v="2"/>
    <x v="1"/>
    <n v="651"/>
  </r>
  <r>
    <n v="306"/>
    <s v="RDT2022122598"/>
    <x v="0"/>
    <x v="0"/>
    <x v="3"/>
    <s v="United Kingdom"/>
    <s v="Sri Lanka"/>
    <x v="1"/>
    <s v="Mrs Judith  Moore"/>
    <s v="jemrock1@proton.me"/>
    <d v="2022-12-16T00:00:00"/>
    <d v="2023-04-10T00:00:00"/>
    <d v="2023-04-10T00:00:00"/>
    <n v="0"/>
    <s v="USD"/>
    <n v="8800"/>
    <m/>
    <x v="2"/>
    <x v="11"/>
    <n v="8800"/>
  </r>
  <r>
    <n v="307"/>
    <s v="RDT2022122597"/>
    <x v="0"/>
    <x v="0"/>
    <x v="3"/>
    <s v="United Kingdom"/>
    <s v="Sri Lanka"/>
    <x v="22"/>
    <s v="Mr Pavle Vojnovic"/>
    <s v="Pvojnovic@gmai.com"/>
    <d v="2022-12-16T00:00:00"/>
    <d v="2022-12-22T00:00:00"/>
    <d v="2022-12-30T00:00:00"/>
    <n v="8"/>
    <s v="USD"/>
    <n v="747"/>
    <m/>
    <x v="3"/>
    <x v="3"/>
    <n v="747"/>
  </r>
  <r>
    <n v="308"/>
    <s v="SLIS2022122595"/>
    <x v="1"/>
    <x v="4"/>
    <x v="8"/>
    <s v="United States of America"/>
    <s v="Sri Lanka"/>
    <x v="0"/>
    <s v="Mrs Rebel Rice"/>
    <s v="rebel.rice828@gmail.com"/>
    <d v="2022-12-15T00:00:00"/>
    <d v="2023-01-03T00:00:00"/>
    <d v="2023-01-17T00:00:00"/>
    <n v="14"/>
    <s v="USD"/>
    <n v="6928.42"/>
    <m/>
    <x v="2"/>
    <x v="2"/>
    <n v="6928.42"/>
  </r>
  <r>
    <n v="309"/>
    <s v="SLIS2022122592"/>
    <x v="1"/>
    <x v="3"/>
    <x v="8"/>
    <s v="United States of America"/>
    <s v="Sri Lanka"/>
    <x v="0"/>
    <s v="Mrs Gwen Nagendran"/>
    <s v="‎gnagendran@yahoo.com"/>
    <d v="2022-12-14T00:00:00"/>
    <d v="2023-01-16T00:00:00"/>
    <d v="2023-01-20T00:00:00"/>
    <n v="4"/>
    <s v="USD"/>
    <n v="4553.6400000000003"/>
    <m/>
    <x v="2"/>
    <x v="2"/>
    <n v="4553.6400000000003"/>
  </r>
  <r>
    <n v="310"/>
    <s v="RDT2022122591"/>
    <x v="0"/>
    <x v="3"/>
    <x v="4"/>
    <s v="United Kingdom"/>
    <s v="Sri Lanka"/>
    <x v="1"/>
    <s v="Mr Ian  Michael  Colley"/>
    <s v="ian@colleyshouse.co.uk"/>
    <d v="2022-12-13T00:00:00"/>
    <d v="2022-12-28T00:00:00"/>
    <d v="2023-01-09T00:00:00"/>
    <n v="12"/>
    <s v="USD"/>
    <n v="11849.93"/>
    <m/>
    <x v="3"/>
    <x v="3"/>
    <n v="11849.93"/>
  </r>
  <r>
    <n v="311"/>
    <s v="RDT2022122590"/>
    <x v="0"/>
    <x v="0"/>
    <x v="4"/>
    <s v="United Kingdom"/>
    <s v="Sri Lanka"/>
    <x v="1"/>
    <s v="Mr James Hippisley Kidner"/>
    <s v="James@Kidner.net"/>
    <d v="2022-12-13T00:00:00"/>
    <d v="2022-12-18T00:00:00"/>
    <d v="2022-12-31T00:00:00"/>
    <n v="13"/>
    <s v="USD"/>
    <n v="1131"/>
    <m/>
    <x v="3"/>
    <x v="3"/>
    <n v="1131"/>
  </r>
  <r>
    <n v="312"/>
    <s v="RDT2022122589"/>
    <x v="0"/>
    <x v="0"/>
    <x v="2"/>
    <s v="Australia"/>
    <s v="Sri Lanka"/>
    <x v="2"/>
    <s v="Mrs Chuet Whan Lee"/>
    <s v="lee_whan@hotmail.com"/>
    <d v="2022-12-12T00:00:00"/>
    <d v="2023-01-09T00:00:00"/>
    <d v="2023-01-23T00:00:00"/>
    <n v="14"/>
    <s v="USD"/>
    <n v="5005.0200000000004"/>
    <m/>
    <x v="2"/>
    <x v="2"/>
    <n v="5005.0200000000004"/>
  </r>
  <r>
    <n v="313"/>
    <s v="RDT2022122586"/>
    <x v="0"/>
    <x v="0"/>
    <x v="8"/>
    <s v="United Kingdom"/>
    <s v="Sri Lanka"/>
    <x v="1"/>
    <s v="Mrs Victoria Manning-Monro"/>
    <s v="manningmonro@gmail.com"/>
    <d v="2022-12-09T00:00:00"/>
    <d v="2023-03-25T00:00:00"/>
    <d v="2023-04-09T00:00:00"/>
    <n v="15"/>
    <s v="USD"/>
    <n v="9531.9500000000007"/>
    <m/>
    <x v="2"/>
    <x v="0"/>
    <n v="9531.9500000000007"/>
  </r>
  <r>
    <n v="314"/>
    <s v="RDT2022122585"/>
    <x v="0"/>
    <x v="0"/>
    <x v="3"/>
    <s v="Malta"/>
    <s v="Sri Lanka"/>
    <x v="3"/>
    <s v="Mr Christian Ellul  Sullivan"/>
    <s v="sulli707@gmail.com"/>
    <d v="2022-12-09T00:00:00"/>
    <d v="2023-03-29T00:00:00"/>
    <d v="2023-04-14T00:00:00"/>
    <n v="16"/>
    <s v="USD"/>
    <n v="20229.64"/>
    <m/>
    <x v="2"/>
    <x v="0"/>
    <n v="20229.64"/>
  </r>
  <r>
    <n v="315"/>
    <s v="SLIS2022122584"/>
    <x v="1"/>
    <x v="3"/>
    <x v="3"/>
    <s v="United Kingdom"/>
    <s v="Sri Lanka"/>
    <x v="1"/>
    <s v="Mr Martin Thomas"/>
    <s v="thomasmd@btinternet.com"/>
    <d v="2022-12-14T00:00:00"/>
    <d v="2023-08-19T00:00:00"/>
    <d v="2023-09-07T00:00:00"/>
    <n v="19"/>
    <s v="USD"/>
    <n v="32507.75"/>
    <m/>
    <x v="2"/>
    <x v="7"/>
    <n v="32507.75"/>
  </r>
  <r>
    <n v="316"/>
    <s v="RDT2022122582"/>
    <x v="0"/>
    <x v="0"/>
    <x v="4"/>
    <s v="United Kingdom"/>
    <s v="Sri Lanka"/>
    <x v="1"/>
    <s v="Ms Louise  Claire Parsons"/>
    <s v="Louise.parsons@me.com"/>
    <d v="2022-12-06T00:00:00"/>
    <d v="2022-12-15T00:00:00"/>
    <d v="2022-12-23T00:00:00"/>
    <n v="8"/>
    <s v="USD"/>
    <n v="16623.23"/>
    <m/>
    <x v="3"/>
    <x v="3"/>
    <n v="16623.23"/>
  </r>
  <r>
    <n v="317"/>
    <s v="SLIS2022112573"/>
    <x v="1"/>
    <x v="0"/>
    <x v="3"/>
    <s v="Canada"/>
    <s v="Sri Lanka"/>
    <x v="5"/>
    <s v="Mr Graham  Porter"/>
    <s v="whereiswendy@gmail.com"/>
    <d v="2022-11-27T00:00:00"/>
    <d v="2022-12-23T00:00:00"/>
    <d v="2022-12-30T00:00:00"/>
    <n v="7"/>
    <s v="USD"/>
    <n v="17372.240000000002"/>
    <m/>
    <x v="3"/>
    <x v="3"/>
    <n v="17372.240000000002"/>
  </r>
  <r>
    <n v="318"/>
    <s v="RDT2022112572"/>
    <x v="0"/>
    <x v="0"/>
    <x v="3"/>
    <s v="Saudi Arabia"/>
    <s v="Sri Lanka"/>
    <x v="23"/>
    <s v="Ms Ghaida Ayidh"/>
    <s v="Ghaida.ayidh@gmail.com"/>
    <d v="2022-11-27T00:00:00"/>
    <d v="2022-12-23T00:00:00"/>
    <d v="2022-12-31T00:00:00"/>
    <n v="8"/>
    <s v="USD"/>
    <n v="8888.07"/>
    <m/>
    <x v="3"/>
    <x v="3"/>
    <n v="8888.07"/>
  </r>
  <r>
    <n v="319"/>
    <s v="RDT2022112571"/>
    <x v="0"/>
    <x v="0"/>
    <x v="3"/>
    <s v="United Kingdom"/>
    <s v="Sri Lanka"/>
    <x v="1"/>
    <s v="Mrs Rachael Moss"/>
    <s v="rachevelyn@hotmail.com"/>
    <d v="2022-11-27T00:00:00"/>
    <d v="2022-12-17T00:00:00"/>
    <d v="2022-12-24T00:00:00"/>
    <n v="7"/>
    <s v="USD"/>
    <n v="4983.2700000000004"/>
    <m/>
    <x v="3"/>
    <x v="3"/>
    <n v="4983.2700000000004"/>
  </r>
  <r>
    <n v="320"/>
    <s v="RDT2022112569"/>
    <x v="0"/>
    <x v="3"/>
    <x v="3"/>
    <s v="United Kingdom"/>
    <s v="Sri Lanka"/>
    <x v="1"/>
    <s v="Mr Dennis Anguige"/>
    <s v="dennis.anguige@ntlworld.com"/>
    <d v="2022-11-26T00:00:00"/>
    <d v="2023-02-19T00:00:00"/>
    <d v="2023-03-07T00:00:00"/>
    <n v="16"/>
    <s v="USD"/>
    <n v="8297.64"/>
    <m/>
    <x v="2"/>
    <x v="1"/>
    <n v="8297.64"/>
  </r>
  <r>
    <n v="321"/>
    <s v="RDT2022112566"/>
    <x v="0"/>
    <x v="0"/>
    <x v="3"/>
    <s v="United Kingdom"/>
    <s v="Sri Lanka"/>
    <x v="1"/>
    <s v="Mrs Margaret Rosamund Cordy"/>
    <s v="rosamund.cordy@gmail.com"/>
    <d v="2022-11-23T00:00:00"/>
    <d v="2023-01-15T00:00:00"/>
    <d v="2023-01-28T00:00:00"/>
    <n v="13"/>
    <s v="USD"/>
    <n v="14450.27"/>
    <m/>
    <x v="2"/>
    <x v="2"/>
    <n v="14450.27"/>
  </r>
  <r>
    <n v="322"/>
    <s v="SLIS2022112565"/>
    <x v="1"/>
    <x v="3"/>
    <x v="8"/>
    <s v="United Kingdom"/>
    <s v="Sri Lanka"/>
    <x v="1"/>
    <s v="Mrs Sharon De Silva"/>
    <m/>
    <d v="2022-11-23T00:00:00"/>
    <d v="2022-11-24T00:00:00"/>
    <d v="2022-12-03T00:00:00"/>
    <n v="9"/>
    <s v="USD"/>
    <n v="4360.7"/>
    <m/>
    <x v="3"/>
    <x v="4"/>
    <n v="4360.7"/>
  </r>
  <r>
    <n v="323"/>
    <s v="RDT2022112564"/>
    <x v="0"/>
    <x v="0"/>
    <x v="3"/>
    <s v="United Arab Emirates"/>
    <s v="Sri Lanka"/>
    <x v="0"/>
    <s v="Mrs Sara  Anderegg"/>
    <s v="sara.anderegg@gmail.com"/>
    <d v="2022-11-23T00:00:00"/>
    <d v="2022-12-10T00:00:00"/>
    <d v="2022-12-10T00:00:00"/>
    <n v="0"/>
    <s v="USD"/>
    <n v="3075.88"/>
    <m/>
    <x v="3"/>
    <x v="3"/>
    <n v="3075.88"/>
  </r>
  <r>
    <n v="324"/>
    <s v="SLIS2022112562"/>
    <x v="1"/>
    <x v="0"/>
    <x v="8"/>
    <s v="India"/>
    <s v="Sri Lanka"/>
    <x v="12"/>
    <s v="Mrs Rohini Ruikar"/>
    <s v="ruikar.rohini91@gmail.com"/>
    <d v="2022-11-22T00:00:00"/>
    <d v="2022-12-01T00:00:00"/>
    <d v="2022-12-07T00:00:00"/>
    <n v="6"/>
    <s v="USD"/>
    <n v="2222.2199999999998"/>
    <m/>
    <x v="3"/>
    <x v="3"/>
    <n v="2222.2199999999998"/>
  </r>
  <r>
    <n v="325"/>
    <s v="SLIS2022112557"/>
    <x v="1"/>
    <x v="3"/>
    <x v="8"/>
    <s v="Germany"/>
    <s v="Sri Lanka"/>
    <x v="7"/>
    <s v="Mr Max Planck Foundation"/>
    <m/>
    <d v="2022-12-10T00:00:00"/>
    <d v="2022-12-10T00:00:00"/>
    <d v="2022-12-10T00:00:00"/>
    <n v="0"/>
    <s v="USD"/>
    <n v="1215"/>
    <m/>
    <x v="3"/>
    <x v="3"/>
    <n v="1215"/>
  </r>
  <r>
    <n v="326"/>
    <s v="SLIS2022112556"/>
    <x v="1"/>
    <x v="3"/>
    <x v="8"/>
    <s v="Germany"/>
    <s v="Sri Lanka"/>
    <x v="7"/>
    <s v="Mr Max Planck Foundation"/>
    <m/>
    <d v="2022-11-21T00:00:00"/>
    <d v="2022-12-03T00:00:00"/>
    <d v="2022-12-12T00:00:00"/>
    <n v="9"/>
    <s v="USD"/>
    <n v="10464.799999999999"/>
    <m/>
    <x v="3"/>
    <x v="3"/>
    <n v="10464.799999999999"/>
  </r>
  <r>
    <n v="327"/>
    <s v="RDT2022112554"/>
    <x v="0"/>
    <x v="0"/>
    <x v="4"/>
    <s v="United Kingdom"/>
    <s v="Sri Lanka"/>
    <x v="1"/>
    <s v="Mr Kevin  Stuart Mathers"/>
    <s v="kevin.mathers@gmail.com"/>
    <d v="2022-11-19T00:00:00"/>
    <d v="2023-07-08T00:00:00"/>
    <d v="2023-08-06T00:00:00"/>
    <n v="29"/>
    <s v="USD"/>
    <n v="23574.76"/>
    <m/>
    <x v="2"/>
    <x v="8"/>
    <n v="23574.76"/>
  </r>
  <r>
    <n v="328"/>
    <s v="SLIS2022112553"/>
    <x v="1"/>
    <x v="2"/>
    <x v="8"/>
    <s v="Germany"/>
    <s v="Sri Lanka"/>
    <x v="9"/>
    <s v="Mr Max Planck Foundation"/>
    <m/>
    <d v="2022-11-18T00:00:00"/>
    <d v="2022-12-02T00:00:00"/>
    <d v="2022-12-04T00:00:00"/>
    <n v="2"/>
    <s v="USD"/>
    <n v="2592"/>
    <m/>
    <x v="3"/>
    <x v="3"/>
    <n v="2592"/>
  </r>
  <r>
    <n v="329"/>
    <s v="RDT2022112551"/>
    <x v="0"/>
    <x v="0"/>
    <x v="3"/>
    <s v="United Kingdom"/>
    <s v="Sri Lanka"/>
    <x v="1"/>
    <s v="Mr Philip Green"/>
    <s v="phil.marj@talktalk.net"/>
    <d v="2022-11-16T00:00:00"/>
    <d v="2022-12-05T00:00:00"/>
    <d v="2022-12-05T00:00:00"/>
    <n v="0"/>
    <s v="USD"/>
    <n v="296.95"/>
    <m/>
    <x v="3"/>
    <x v="3"/>
    <n v="296.95"/>
  </r>
  <r>
    <n v="330"/>
    <s v="RDT2022112549"/>
    <x v="0"/>
    <x v="0"/>
    <x v="4"/>
    <s v="United Kingdom"/>
    <s v="Sri Lanka"/>
    <x v="1"/>
    <s v="Mr Simon  Price"/>
    <s v="sjeprice@hotmail.com"/>
    <d v="2022-11-15T00:00:00"/>
    <d v="2023-02-11T00:00:00"/>
    <d v="2023-02-20T00:00:00"/>
    <n v="9"/>
    <s v="USD"/>
    <n v="4874.95"/>
    <m/>
    <x v="2"/>
    <x v="1"/>
    <n v="4874.95"/>
  </r>
  <r>
    <n v="331"/>
    <s v="RDT2022112548"/>
    <x v="0"/>
    <x v="0"/>
    <x v="4"/>
    <s v="United Kingdom"/>
    <s v="Sri Lanka"/>
    <x v="1"/>
    <s v="Mr Stuart  Bates"/>
    <s v="stuart@stuartbates.co.uk"/>
    <d v="2022-11-14T00:00:00"/>
    <d v="2023-01-30T00:00:00"/>
    <d v="2023-02-15T00:00:00"/>
    <n v="16"/>
    <s v="USD"/>
    <n v="19386.95"/>
    <m/>
    <x v="2"/>
    <x v="2"/>
    <n v="19386.95"/>
  </r>
  <r>
    <n v="332"/>
    <s v="RDT2022112546"/>
    <x v="0"/>
    <x v="3"/>
    <x v="4"/>
    <s v="Singapore"/>
    <s v="Sri Lanka"/>
    <x v="4"/>
    <s v="Mr Meng Seng Aloysius Wee"/>
    <s v="aloysius.wee@aquinaslaw.sg"/>
    <d v="2022-11-14T00:00:00"/>
    <d v="2022-12-27T00:00:00"/>
    <d v="2023-01-05T00:00:00"/>
    <n v="9"/>
    <s v="USD"/>
    <n v="4197.41"/>
    <m/>
    <x v="3"/>
    <x v="3"/>
    <n v="4197.41"/>
  </r>
  <r>
    <n v="333"/>
    <s v="RDT2022112545"/>
    <x v="0"/>
    <x v="3"/>
    <x v="4"/>
    <s v="United Kingdom"/>
    <s v="Sri Lanka"/>
    <x v="1"/>
    <s v="Mr Thomas  Hammond"/>
    <s v="tom.hammond@sky.com"/>
    <d v="2022-11-11T00:00:00"/>
    <d v="2023-03-31T00:00:00"/>
    <d v="2023-04-16T00:00:00"/>
    <n v="16"/>
    <s v="USD"/>
    <n v="23750.1"/>
    <m/>
    <x v="2"/>
    <x v="0"/>
    <n v="23750.1"/>
  </r>
  <r>
    <n v="334"/>
    <s v="RDT2022112535"/>
    <x v="0"/>
    <x v="0"/>
    <x v="3"/>
    <s v="India"/>
    <s v="Sri Lanka"/>
    <x v="12"/>
    <s v="Mrs Vaniitha Jaiin"/>
    <s v="vaniithajaiin@gmail.com"/>
    <d v="2022-11-09T00:00:00"/>
    <d v="2022-12-24T00:00:00"/>
    <d v="2023-01-02T00:00:00"/>
    <n v="9"/>
    <s v="USD"/>
    <n v="3610.12"/>
    <m/>
    <x v="3"/>
    <x v="3"/>
    <n v="3610.12"/>
  </r>
  <r>
    <n v="335"/>
    <s v="RDT2022112532"/>
    <x v="0"/>
    <x v="3"/>
    <x v="4"/>
    <s v="United Kingdom"/>
    <s v="Sri Lanka"/>
    <x v="1"/>
    <s v="Ms Deborah  De Groot"/>
    <s v="Deborah.degroot@btinternet.com"/>
    <d v="2022-11-06T00:00:00"/>
    <d v="2023-01-19T00:00:00"/>
    <d v="2023-02-04T00:00:00"/>
    <n v="16"/>
    <s v="USD"/>
    <n v="7664.99"/>
    <m/>
    <x v="2"/>
    <x v="2"/>
    <n v="7664.99"/>
  </r>
  <r>
    <n v="336"/>
    <s v="RDT2022112531"/>
    <x v="0"/>
    <x v="0"/>
    <x v="3"/>
    <s v="Jordan"/>
    <s v="Sri Lanka"/>
    <x v="1"/>
    <s v="Ms Hana Bishop"/>
    <s v="hanabishop@qvconsulting.com"/>
    <d v="2022-11-05T00:00:00"/>
    <d v="2022-11-13T00:00:00"/>
    <d v="2022-11-13T00:00:00"/>
    <n v="0"/>
    <s v="USD"/>
    <n v="159.99"/>
    <m/>
    <x v="3"/>
    <x v="4"/>
    <n v="159.99"/>
  </r>
  <r>
    <n v="337"/>
    <s v="RDT2022112530"/>
    <x v="0"/>
    <x v="2"/>
    <x v="4"/>
    <s v="United Kingdom"/>
    <s v="Sri Lanka"/>
    <x v="1"/>
    <s v="Mr Roy  Anthony Lawrance"/>
    <s v="roylawrance@talktalk.net"/>
    <d v="2022-11-05T00:00:00"/>
    <d v="2022-12-13T00:00:00"/>
    <d v="2022-12-31T00:00:00"/>
    <n v="18"/>
    <s v="USD"/>
    <n v="16736.78"/>
    <m/>
    <x v="3"/>
    <x v="3"/>
    <n v="16736.78"/>
  </r>
  <r>
    <n v="338"/>
    <s v="RDT2022112524"/>
    <x v="0"/>
    <x v="0"/>
    <x v="4"/>
    <s v="United Kingdom"/>
    <s v="Sri Lanka"/>
    <x v="1"/>
    <s v="Mr Wai-Bien  Cheung"/>
    <s v="wai_13@hotmail.com"/>
    <d v="2022-11-02T00:00:00"/>
    <d v="2022-12-30T00:00:00"/>
    <d v="2023-01-15T00:00:00"/>
    <n v="16"/>
    <s v="USD"/>
    <n v="5413.87"/>
    <m/>
    <x v="3"/>
    <x v="3"/>
    <n v="5413.87"/>
  </r>
  <r>
    <n v="339"/>
    <s v="RDT2022112522"/>
    <x v="0"/>
    <x v="0"/>
    <x v="4"/>
    <s v="United Kingdom"/>
    <s v="Sri Lanka"/>
    <x v="1"/>
    <s v="Ms Gowtheme  Gowresan"/>
    <s v="meenagowresan1825@hotmail.co.uk"/>
    <d v="2022-11-01T00:00:00"/>
    <d v="2022-12-24T00:00:00"/>
    <d v="2023-01-09T00:00:00"/>
    <n v="16"/>
    <s v="USD"/>
    <n v="3374.41"/>
    <m/>
    <x v="3"/>
    <x v="3"/>
    <n v="3374.41"/>
  </r>
  <r>
    <n v="340"/>
    <s v="SLIS2022102519"/>
    <x v="1"/>
    <x v="0"/>
    <x v="8"/>
    <s v="United Kingdom"/>
    <s v="Sri Lanka"/>
    <x v="1"/>
    <s v="Mr Christopher Primus"/>
    <s v="christopher.primus@gmail.com"/>
    <d v="2022-11-01T00:00:00"/>
    <d v="2022-11-06T00:00:00"/>
    <d v="2022-11-19T00:00:00"/>
    <n v="13"/>
    <s v="USD"/>
    <n v="5444.71"/>
    <m/>
    <x v="3"/>
    <x v="4"/>
    <n v="5444.71"/>
  </r>
  <r>
    <n v="341"/>
    <s v="RDT2022102515"/>
    <x v="0"/>
    <x v="3"/>
    <x v="4"/>
    <s v="United Kingdom"/>
    <s v="Sri Lanka"/>
    <x v="1"/>
    <s v="Mrs Elisabeth  Gay Ward"/>
    <s v="art@gayhutson.com"/>
    <d v="2022-10-28T00:00:00"/>
    <d v="2023-02-08T00:00:00"/>
    <d v="2023-02-24T00:00:00"/>
    <n v="16"/>
    <s v="USD"/>
    <n v="9495.0300000000007"/>
    <m/>
    <x v="2"/>
    <x v="1"/>
    <n v="9495.0300000000007"/>
  </r>
  <r>
    <n v="342"/>
    <s v="RDT2022102514"/>
    <x v="0"/>
    <x v="3"/>
    <x v="3"/>
    <s v="United Arab Emirates"/>
    <s v="Sri Lanka"/>
    <x v="13"/>
    <s v="Mrs Mairead Guinan"/>
    <s v="Maireadguinan12@gmail.com"/>
    <d v="2022-10-27T00:00:00"/>
    <d v="2023-02-11T00:00:00"/>
    <d v="2023-02-17T00:00:00"/>
    <n v="6"/>
    <s v="USD"/>
    <n v="2014.95"/>
    <m/>
    <x v="2"/>
    <x v="1"/>
    <n v="2014.95"/>
  </r>
  <r>
    <n v="343"/>
    <s v="RDT2022102512"/>
    <x v="0"/>
    <x v="0"/>
    <x v="4"/>
    <s v="United Kingdom"/>
    <s v="Sri Lanka"/>
    <x v="1"/>
    <s v="Mr David  Miller"/>
    <m/>
    <d v="2022-10-26T00:00:00"/>
    <d v="2022-12-21T00:00:00"/>
    <d v="2023-01-03T00:00:00"/>
    <n v="13"/>
    <s v="USD"/>
    <n v="2419.08"/>
    <m/>
    <x v="3"/>
    <x v="3"/>
    <n v="2419.08"/>
  </r>
  <r>
    <n v="344"/>
    <s v="RDT2022102511"/>
    <x v="0"/>
    <x v="2"/>
    <x v="4"/>
    <s v="United Kingdom"/>
    <s v="Sri Lanka"/>
    <x v="1"/>
    <s v="Ms Tina  Norden"/>
    <s v="tina.norden@conran.com"/>
    <d v="2022-10-26T00:00:00"/>
    <d v="2023-01-07T00:00:00"/>
    <d v="2023-01-16T00:00:00"/>
    <n v="9"/>
    <s v="USD"/>
    <n v="3294.16"/>
    <m/>
    <x v="2"/>
    <x v="2"/>
    <n v="3294.16"/>
  </r>
  <r>
    <n v="345"/>
    <s v="RDT2022102509"/>
    <x v="0"/>
    <x v="0"/>
    <x v="2"/>
    <s v="United Kingdom"/>
    <s v="Sri Lanka"/>
    <x v="1"/>
    <s v="Mr Geordie Erskine"/>
    <s v="geordie_erskine@hotmail.com"/>
    <d v="2022-10-25T00:00:00"/>
    <d v="2023-01-01T00:00:00"/>
    <d v="2023-01-07T00:00:00"/>
    <n v="6"/>
    <s v="GBP"/>
    <n v="3186.59"/>
    <m/>
    <x v="2"/>
    <x v="2"/>
    <n v="3186.59"/>
  </r>
  <r>
    <n v="346"/>
    <s v="SLIS2022102507"/>
    <x v="1"/>
    <x v="2"/>
    <x v="4"/>
    <s v="Australia"/>
    <s v="Sri Lanka"/>
    <x v="24"/>
    <s v="Ms Christine  Parris"/>
    <s v="giagia53@hotmail.com"/>
    <d v="2022-10-24T00:00:00"/>
    <d v="2023-07-21T00:00:00"/>
    <d v="2023-07-25T00:00:00"/>
    <n v="4"/>
    <s v="USD"/>
    <n v="3164.68"/>
    <m/>
    <x v="2"/>
    <x v="8"/>
    <n v="3164.68"/>
  </r>
  <r>
    <n v="347"/>
    <s v="SLIS2022102505"/>
    <x v="1"/>
    <x v="2"/>
    <x v="8"/>
    <s v="Germany"/>
    <s v="Sri Lanka"/>
    <x v="9"/>
    <s v="Mr Max Planck Foundation"/>
    <m/>
    <d v="2022-10-24T00:00:00"/>
    <d v="2022-11-10T00:00:00"/>
    <d v="2022-11-13T00:00:00"/>
    <n v="3"/>
    <s v="USD"/>
    <n v="8087.78"/>
    <m/>
    <x v="3"/>
    <x v="4"/>
    <n v="8087.78"/>
  </r>
  <r>
    <n v="348"/>
    <s v="SLIS2022102504"/>
    <x v="1"/>
    <x v="2"/>
    <x v="8"/>
    <s v="Germany"/>
    <s v="Sri Lanka"/>
    <x v="9"/>
    <s v="Mr Max Planck Foundation"/>
    <m/>
    <d v="2022-10-24T00:00:00"/>
    <d v="2022-11-17T00:00:00"/>
    <d v="2022-11-20T00:00:00"/>
    <n v="3"/>
    <s v="USD"/>
    <n v="8601.08"/>
    <m/>
    <x v="3"/>
    <x v="4"/>
    <n v="8601.08"/>
  </r>
  <r>
    <n v="349"/>
    <s v="RDT2022102500"/>
    <x v="0"/>
    <x v="2"/>
    <x v="4"/>
    <s v="United Kingdom"/>
    <s v="Sri Lanka"/>
    <x v="1"/>
    <s v="Mr  Jonathan  Innes"/>
    <s v="jinnes@waitrose.com"/>
    <d v="2022-10-18T00:00:00"/>
    <d v="2023-01-20T00:00:00"/>
    <d v="2023-02-10T00:00:00"/>
    <n v="21"/>
    <s v="USD"/>
    <n v="10872.35"/>
    <m/>
    <x v="2"/>
    <x v="2"/>
    <n v="10872.35"/>
  </r>
  <r>
    <n v="350"/>
    <s v="RDT2022102499"/>
    <x v="0"/>
    <x v="2"/>
    <x v="4"/>
    <s v="United Kingdom"/>
    <s v="Sri Lanka"/>
    <x v="1"/>
    <s v="Mrs Jane  Barkes"/>
    <s v="jane@barkesmail.co.uk,jane@barkesmail.co.uk"/>
    <d v="2022-10-18T00:00:00"/>
    <d v="2023-02-03T00:00:00"/>
    <d v="2023-02-19T00:00:00"/>
    <n v="16"/>
    <s v="USD"/>
    <n v="5836.99"/>
    <m/>
    <x v="2"/>
    <x v="1"/>
    <n v="5836.99"/>
  </r>
  <r>
    <n v="351"/>
    <s v="RDT2022102496"/>
    <x v="0"/>
    <x v="0"/>
    <x v="3"/>
    <s v="United Kingdom"/>
    <s v="Sri Lanka"/>
    <x v="1"/>
    <s v="Mr Mark Hunt"/>
    <s v="mtfhunt@yahoo.co.uk"/>
    <d v="2022-10-15T00:00:00"/>
    <d v="2022-10-16T00:00:00"/>
    <d v="2022-10-29T00:00:00"/>
    <n v="13"/>
    <s v="USD"/>
    <n v="3943.54"/>
    <m/>
    <x v="3"/>
    <x v="5"/>
    <n v="3943.54"/>
  </r>
  <r>
    <n v="352"/>
    <s v="RDT2022102491"/>
    <x v="0"/>
    <x v="3"/>
    <x v="4"/>
    <s v="United Kingdom"/>
    <s v="Sri Lanka"/>
    <x v="1"/>
    <s v="Mr Matthew James Taylor"/>
    <s v="matthew.james.taylor11@gmail.com"/>
    <d v="2022-10-10T00:00:00"/>
    <d v="2022-10-11T00:00:00"/>
    <d v="2022-10-11T00:00:00"/>
    <n v="0"/>
    <s v="USD"/>
    <n v="197.21"/>
    <m/>
    <x v="3"/>
    <x v="5"/>
    <n v="197.21"/>
  </r>
  <r>
    <n v="353"/>
    <s v="SLIS2022092486"/>
    <x v="1"/>
    <x v="3"/>
    <x v="8"/>
    <s v="United Kingdom"/>
    <s v="Sri Lanka"/>
    <x v="1"/>
    <s v="Ms Imogen  Canavan"/>
    <s v="canavan@mpfpr.de"/>
    <d v="2022-09-30T00:00:00"/>
    <d v="2022-10-18T00:00:00"/>
    <d v="2022-10-24T00:00:00"/>
    <n v="6"/>
    <s v="USD"/>
    <n v="4454.25"/>
    <m/>
    <x v="3"/>
    <x v="5"/>
    <n v="4454.25"/>
  </r>
  <r>
    <n v="354"/>
    <s v="RDT2022092485"/>
    <x v="0"/>
    <x v="0"/>
    <x v="3"/>
    <s v="United Kingdom"/>
    <s v="Sri Lanka"/>
    <x v="1"/>
    <s v="Mr Edward  Jones"/>
    <s v="etrj25@gmail.com"/>
    <d v="2022-09-30T00:00:00"/>
    <d v="2022-10-25T00:00:00"/>
    <d v="2022-11-03T00:00:00"/>
    <n v="9"/>
    <s v="USD"/>
    <n v="2475.06"/>
    <m/>
    <x v="3"/>
    <x v="5"/>
    <n v="2475.06"/>
  </r>
  <r>
    <n v="355"/>
    <s v="RDT2022092469"/>
    <x v="0"/>
    <x v="3"/>
    <x v="4"/>
    <s v="India"/>
    <s v="Sri Lanka"/>
    <x v="12"/>
    <s v="Mrs Chitra Rajashekaran"/>
    <s v="chitrarajashekaran@hotmail.com"/>
    <d v="2022-09-22T00:00:00"/>
    <d v="2022-12-30T00:00:00"/>
    <d v="2023-01-10T00:00:00"/>
    <n v="11"/>
    <s v="USD"/>
    <n v="8423.83"/>
    <m/>
    <x v="3"/>
    <x v="3"/>
    <n v="8423.83"/>
  </r>
  <r>
    <n v="356"/>
    <s v="RDT2022092467"/>
    <x v="0"/>
    <x v="0"/>
    <x v="4"/>
    <s v="United Kingdom"/>
    <s v="Sri Lanka"/>
    <x v="1"/>
    <s v="Mr Peter Gordon Moore"/>
    <s v="petermoore@bodminland.plus.com"/>
    <d v="2022-09-21T00:00:00"/>
    <d v="2023-02-20T00:00:00"/>
    <d v="2023-03-22T00:00:00"/>
    <n v="30"/>
    <s v="USD"/>
    <n v="12032.56"/>
    <m/>
    <x v="2"/>
    <x v="1"/>
    <n v="12032.56"/>
  </r>
  <r>
    <n v="357"/>
    <s v="SLIS2022092464"/>
    <x v="1"/>
    <x v="0"/>
    <x v="8"/>
    <s v="United States of America"/>
    <s v="Sri Lanka"/>
    <x v="0"/>
    <s v="Mrs Michal Preminger"/>
    <s v="michal.preminger@gmail.com"/>
    <d v="2022-09-19T00:00:00"/>
    <d v="2022-12-17T00:00:00"/>
    <d v="2022-12-29T00:00:00"/>
    <n v="12"/>
    <s v="USD"/>
    <n v="17017.96"/>
    <m/>
    <x v="3"/>
    <x v="3"/>
    <n v="17017.96"/>
  </r>
  <r>
    <n v="358"/>
    <s v="RDT2022092453"/>
    <x v="0"/>
    <x v="0"/>
    <x v="4"/>
    <s v="United Kingdom"/>
    <s v="Sri Lanka"/>
    <x v="1"/>
    <s v="Mr Nigel Whale"/>
    <s v="nigel@whale.uk.com"/>
    <d v="2022-09-08T00:00:00"/>
    <d v="2023-01-12T00:00:00"/>
    <d v="2023-01-31T00:00:00"/>
    <n v="19"/>
    <s v="USD"/>
    <n v="9567.7800000000007"/>
    <m/>
    <x v="2"/>
    <x v="2"/>
    <n v="9567.7800000000007"/>
  </r>
  <r>
    <n v="359"/>
    <s v="RDT2022092451"/>
    <x v="0"/>
    <x v="0"/>
    <x v="4"/>
    <s v="United Kingdom"/>
    <s v="Sri Lanka"/>
    <x v="1"/>
    <s v="Mr Timothy Paul Harrison"/>
    <s v="timharrison001@hotmail.com"/>
    <d v="2022-09-03T00:00:00"/>
    <d v="2022-12-03T00:00:00"/>
    <d v="2022-12-21T00:00:00"/>
    <n v="18"/>
    <s v="USD"/>
    <n v="13179.19"/>
    <m/>
    <x v="3"/>
    <x v="3"/>
    <n v="13179.19"/>
  </r>
  <r>
    <n v="360"/>
    <s v="RDT2022092449"/>
    <x v="0"/>
    <x v="1"/>
    <x v="4"/>
    <s v="Sri Lanka"/>
    <s v="Sri Lanka"/>
    <x v="9"/>
    <s v="Ms Lahiru Kularatne"/>
    <s v="lahiru@reddottours.com"/>
    <d v="2022-09-02T00:00:00"/>
    <d v="2022-09-06T00:00:00"/>
    <d v="2022-09-09T00:00:00"/>
    <n v="3"/>
    <s v="USD"/>
    <n v="327.95"/>
    <m/>
    <x v="3"/>
    <x v="6"/>
    <n v="327.95"/>
  </r>
  <r>
    <n v="361"/>
    <s v="SLIS2022082438"/>
    <x v="1"/>
    <x v="0"/>
    <x v="8"/>
    <s v="Singapore"/>
    <s v="Sri Lanka"/>
    <x v="4"/>
    <s v="Mr James Cheng"/>
    <s v="jchengkk@gmail.com&gt;"/>
    <d v="2022-08-11T00:00:00"/>
    <d v="2022-08-28T00:00:00"/>
    <d v="2022-09-06T00:00:00"/>
    <n v="9"/>
    <s v="USD"/>
    <n v="13283.65"/>
    <m/>
    <x v="3"/>
    <x v="7"/>
    <n v="13283.65"/>
  </r>
  <r>
    <n v="362"/>
    <s v="SLIS2022082433"/>
    <x v="1"/>
    <x v="3"/>
    <x v="7"/>
    <s v="Spain"/>
    <s v="Sri Lanka"/>
    <x v="18"/>
    <s v="Mr RAMON DIAZ - REGA&amp;Ntilde;ON"/>
    <s v="ramon_drf91@hotmail.com"/>
    <d v="2022-08-04T00:00:00"/>
    <d v="2022-10-30T00:00:00"/>
    <d v="2022-11-03T00:00:00"/>
    <n v="4"/>
    <s v="USD"/>
    <n v="4561.72"/>
    <m/>
    <x v="3"/>
    <x v="5"/>
    <n v="4561.72"/>
  </r>
  <r>
    <n v="363"/>
    <s v="RDT2022072426"/>
    <x v="0"/>
    <x v="0"/>
    <x v="3"/>
    <s v="Netherlands"/>
    <s v="Sri Lanka"/>
    <x v="25"/>
    <s v="Mrs Susan Vermeer"/>
    <s v="hsvermeer@home.nl"/>
    <d v="2022-07-25T00:00:00"/>
    <d v="2022-08-04T00:00:00"/>
    <d v="2022-08-19T00:00:00"/>
    <n v="15"/>
    <s v="USD"/>
    <n v="1649.22"/>
    <m/>
    <x v="3"/>
    <x v="7"/>
    <n v="1649.22"/>
  </r>
  <r>
    <n v="364"/>
    <s v="RDT2022072421"/>
    <x v="0"/>
    <x v="0"/>
    <x v="4"/>
    <s v="United Kingdom"/>
    <s v="Sri Lanka"/>
    <x v="1"/>
    <s v="Mr John Barker"/>
    <s v="johnbaden1@gmail.com"/>
    <d v="2022-07-12T00:00:00"/>
    <d v="2022-07-13T00:00:00"/>
    <d v="2022-08-02T00:00:00"/>
    <n v="20"/>
    <s v="USD"/>
    <n v="2310.4499999999998"/>
    <m/>
    <x v="3"/>
    <x v="8"/>
    <n v="2310.4499999999998"/>
  </r>
  <r>
    <n v="365"/>
    <s v="SLIS2022072420"/>
    <x v="1"/>
    <x v="3"/>
    <x v="7"/>
    <s v="Spain"/>
    <s v="Sri Lanka"/>
    <x v="18"/>
    <s v="Mr RAMON D&amp;Iacute;AZ-REGA&amp;Ntilde;ON FERNANDEZ"/>
    <s v="ramon_drf91@hotmail.com"/>
    <d v="2022-07-12T00:00:00"/>
    <d v="2022-10-18T00:00:00"/>
    <d v="2022-10-30T00:00:00"/>
    <n v="12"/>
    <s v="USD"/>
    <n v="4390.63"/>
    <m/>
    <x v="3"/>
    <x v="5"/>
    <n v="4390.63"/>
  </r>
  <r>
    <n v="366"/>
    <s v="RDT2022072417"/>
    <x v="0"/>
    <x v="0"/>
    <x v="4"/>
    <s v="United Kingdom"/>
    <s v="Sri Lanka"/>
    <x v="1"/>
    <s v="Ms Margit  Luuka"/>
    <s v="mluuka@hotmail.com"/>
    <d v="2022-07-07T00:00:00"/>
    <d v="2022-10-20T00:00:00"/>
    <d v="2022-10-31T00:00:00"/>
    <n v="11"/>
    <s v="USD"/>
    <n v="8480.89"/>
    <m/>
    <x v="3"/>
    <x v="5"/>
    <n v="8480.89"/>
  </r>
  <r>
    <n v="367"/>
    <s v="SLIS2022062391"/>
    <x v="1"/>
    <x v="4"/>
    <x v="8"/>
    <s v="United States of America"/>
    <s v="Sri Lanka"/>
    <x v="0"/>
    <s v="Mr John Schroeder"/>
    <s v="js@valleybrook.com"/>
    <d v="2022-06-16T00:00:00"/>
    <d v="2023-02-21T00:00:00"/>
    <d v="2023-03-01T00:00:00"/>
    <n v="8"/>
    <s v="USD"/>
    <n v="27514.7"/>
    <m/>
    <x v="2"/>
    <x v="1"/>
    <n v="27514.7"/>
  </r>
  <r>
    <n v="368"/>
    <s v="RDT2022052337"/>
    <x v="0"/>
    <x v="0"/>
    <x v="2"/>
    <s v="United States of America"/>
    <s v="Sri Lanka"/>
    <x v="0"/>
    <s v="Mrs Ashley Young"/>
    <s v="beanietyme@hotmail.com"/>
    <d v="2022-05-09T00:00:00"/>
    <d v="2022-05-13T00:00:00"/>
    <d v="2022-05-14T00:00:00"/>
    <n v="1"/>
    <s v="USD"/>
    <n v="132"/>
    <m/>
    <x v="3"/>
    <x v="10"/>
    <n v="132"/>
  </r>
  <r>
    <n v="369"/>
    <s v="RDT2022052336"/>
    <x v="0"/>
    <x v="2"/>
    <x v="3"/>
    <s v="Australia"/>
    <s v="Sri Lanka"/>
    <x v="2"/>
    <s v="Mrs Emma  Pledge"/>
    <s v="ekpledge@gmail.com"/>
    <d v="2022-05-06T00:00:00"/>
    <d v="2022-07-03T00:00:00"/>
    <d v="2022-07-14T00:00:00"/>
    <n v="11"/>
    <s v="USD"/>
    <n v="7297.26"/>
    <m/>
    <x v="3"/>
    <x v="8"/>
    <n v="7297.26"/>
  </r>
  <r>
    <n v="370"/>
    <s v="RDT2022052332"/>
    <x v="0"/>
    <x v="0"/>
    <x v="9"/>
    <s v="Australia"/>
    <s v="Sri Lanka"/>
    <x v="2"/>
    <s v="Mrs Emma Cross"/>
    <s v="snowcross@tpg.com.au"/>
    <d v="2022-05-04T00:00:00"/>
    <d v="2022-07-01T00:00:00"/>
    <d v="2022-07-06T00:00:00"/>
    <n v="5"/>
    <s v="USD"/>
    <n v="3125.97"/>
    <m/>
    <x v="3"/>
    <x v="8"/>
    <n v="3125.97"/>
  </r>
  <r>
    <n v="371"/>
    <s v="SLIS2022042316"/>
    <x v="1"/>
    <x v="3"/>
    <x v="7"/>
    <s v="Spain"/>
    <s v="Sri Lanka"/>
    <x v="18"/>
    <s v="Ms MARIA TENA ROGER"/>
    <s v="maria.tena.roger@gmail.com"/>
    <d v="2022-04-28T00:00:00"/>
    <d v="2022-06-14T00:00:00"/>
    <d v="2022-06-23T00:00:00"/>
    <n v="9"/>
    <s v="USD"/>
    <n v="3604.59"/>
    <m/>
    <x v="3"/>
    <x v="9"/>
    <n v="3604.59"/>
  </r>
  <r>
    <n v="372"/>
    <s v="RDT2022042305"/>
    <x v="0"/>
    <x v="0"/>
    <x v="4"/>
    <s v="Netherlands"/>
    <s v="Sri Lanka"/>
    <x v="10"/>
    <s v="Mr Vincent Goedegebuure"/>
    <s v="vgoedegebuure@hotmail.com"/>
    <d v="2022-04-20T00:00:00"/>
    <d v="2022-04-23T00:00:00"/>
    <d v="2022-05-07T00:00:00"/>
    <n v="14"/>
    <s v="USD"/>
    <n v="1035"/>
    <m/>
    <x v="3"/>
    <x v="11"/>
    <n v="1035"/>
  </r>
  <r>
    <n v="373"/>
    <s v="SLIS2022042296"/>
    <x v="1"/>
    <x v="3"/>
    <x v="7"/>
    <s v="Spain"/>
    <s v="Sri Lanka"/>
    <x v="18"/>
    <s v="Mr PABLO DOCAVO PEDRAZA"/>
    <s v="pab.docavo.p@gmail.com"/>
    <d v="2022-04-13T00:00:00"/>
    <d v="2022-07-05T00:00:00"/>
    <d v="2022-07-17T00:00:00"/>
    <n v="12"/>
    <s v="USD"/>
    <n v="6846.47"/>
    <m/>
    <x v="3"/>
    <x v="8"/>
    <n v="6846.47"/>
  </r>
  <r>
    <n v="374"/>
    <s v="SLIS2022042275"/>
    <x v="1"/>
    <x v="0"/>
    <x v="3"/>
    <s v="United States of America"/>
    <s v="Sri Lanka"/>
    <x v="0"/>
    <s v="Mr Bill Hermanns"/>
    <s v="billy.hermanns@gmail.com"/>
    <d v="2022-04-04T00:00:00"/>
    <d v="2022-12-15T00:00:00"/>
    <d v="2022-12-26T00:00:00"/>
    <n v="11"/>
    <s v="USD"/>
    <n v="17937.04"/>
    <m/>
    <x v="3"/>
    <x v="3"/>
    <n v="17937.04"/>
  </r>
  <r>
    <n v="375"/>
    <s v="SLIS2022032260"/>
    <x v="1"/>
    <x v="3"/>
    <x v="7"/>
    <s v="Spain"/>
    <s v="Sri Lanka"/>
    <x v="18"/>
    <s v="Mr Juan Giralt  Josa"/>
    <s v="arovira22@gmail.com"/>
    <d v="2022-03-28T00:00:00"/>
    <d v="2022-04-15T00:00:00"/>
    <d v="2022-04-18T00:00:00"/>
    <n v="3"/>
    <s v="USD"/>
    <n v="6870"/>
    <m/>
    <x v="3"/>
    <x v="11"/>
    <n v="6870"/>
  </r>
  <r>
    <n v="376"/>
    <s v="SLIS2022032251"/>
    <x v="1"/>
    <x v="0"/>
    <x v="3"/>
    <s v="United Kingdom"/>
    <s v="Sri Lanka"/>
    <x v="1"/>
    <s v="Mr Lorien Newman"/>
    <s v="magicbox2@gmail.com"/>
    <d v="2022-03-25T00:00:00"/>
    <d v="2022-04-04T00:00:00"/>
    <d v="2022-04-07T00:00:00"/>
    <n v="3"/>
    <s v="USD"/>
    <n v="684.82"/>
    <m/>
    <x v="3"/>
    <x v="11"/>
    <n v="684.82"/>
  </r>
  <r>
    <n v="377"/>
    <s v="RDT2022032241"/>
    <x v="0"/>
    <x v="0"/>
    <x v="3"/>
    <s v="Austria"/>
    <s v="Sri Lanka"/>
    <x v="26"/>
    <s v="Mrs Isabelle Irani"/>
    <s v="isabelleirani@gmail.com"/>
    <d v="2022-03-24T00:00:00"/>
    <d v="2022-04-07T00:00:00"/>
    <d v="2022-04-15T00:00:00"/>
    <n v="8"/>
    <s v="USD"/>
    <n v="627.66999999999996"/>
    <m/>
    <x v="3"/>
    <x v="11"/>
    <n v="627.66999999999996"/>
  </r>
  <r>
    <n v="378"/>
    <s v="RDT2022032240"/>
    <x v="0"/>
    <x v="0"/>
    <x v="4"/>
    <s v="United Kingdom"/>
    <s v="Sri Lanka"/>
    <x v="1"/>
    <s v="Mrs Helen Felicity Cabell"/>
    <s v="helen_cabell@hotmail.com"/>
    <d v="2022-03-24T00:00:00"/>
    <d v="2022-07-14T00:00:00"/>
    <d v="2022-07-30T00:00:00"/>
    <n v="16"/>
    <s v="USD"/>
    <n v="7697.47"/>
    <m/>
    <x v="3"/>
    <x v="8"/>
    <n v="7697.47"/>
  </r>
  <r>
    <n v="379"/>
    <s v="RDT2022032238"/>
    <x v="0"/>
    <x v="0"/>
    <x v="3"/>
    <s v="United Kingdom"/>
    <s v="Sri Lanka"/>
    <x v="1"/>
    <s v="Mr Keith Bennett"/>
    <s v="Keithjohnbennett@outlook.com"/>
    <d v="2022-03-24T00:00:00"/>
    <d v="2022-04-10T00:00:00"/>
    <d v="2022-04-10T00:00:00"/>
    <n v="0"/>
    <s v="USD"/>
    <n v="179.95"/>
    <m/>
    <x v="3"/>
    <x v="11"/>
    <n v="179.95"/>
  </r>
  <r>
    <n v="380"/>
    <s v="RDT2022032237"/>
    <x v="0"/>
    <x v="0"/>
    <x v="3"/>
    <s v="United Kingdom"/>
    <s v="Sri Lanka"/>
    <x v="1"/>
    <s v="Mrs Kalani Bogahalande"/>
    <s v="kbogahalande@gmail.com"/>
    <d v="2022-03-24T00:00:00"/>
    <d v="2022-09-30T00:00:00"/>
    <d v="2022-10-07T00:00:00"/>
    <n v="7"/>
    <s v="USD"/>
    <n v="887"/>
    <m/>
    <x v="3"/>
    <x v="6"/>
    <n v="887"/>
  </r>
  <r>
    <n v="381"/>
    <s v="RDT2022032236"/>
    <x v="0"/>
    <x v="0"/>
    <x v="3"/>
    <s v="United Kingdom"/>
    <s v="Sri Lanka"/>
    <x v="1"/>
    <s v="Mr Philip Howard"/>
    <s v="PNLHOWARD@GMAIL.COM"/>
    <d v="2022-03-24T00:00:00"/>
    <d v="2022-04-09T00:00:00"/>
    <d v="2022-04-18T00:00:00"/>
    <n v="9"/>
    <s v="USD"/>
    <n v="739.32"/>
    <m/>
    <x v="3"/>
    <x v="11"/>
    <n v="739.32"/>
  </r>
  <r>
    <n v="382"/>
    <s v="RDT2022032231"/>
    <x v="0"/>
    <x v="0"/>
    <x v="3"/>
    <s v="United Kingdom"/>
    <s v="Sri Lanka"/>
    <x v="27"/>
    <s v="Ms Alina Miedzik"/>
    <s v="alinamiedzik@live.co.uk"/>
    <d v="2022-03-22T00:00:00"/>
    <d v="2022-04-05T00:00:00"/>
    <d v="2022-04-15T00:00:00"/>
    <n v="10"/>
    <s v="USD"/>
    <n v="6155.58"/>
    <m/>
    <x v="3"/>
    <x v="11"/>
    <n v="6155.58"/>
  </r>
  <r>
    <n v="383"/>
    <s v="RDT2022032230"/>
    <x v="0"/>
    <x v="0"/>
    <x v="3"/>
    <s v="United Kingdom"/>
    <s v="Sri Lanka"/>
    <x v="1"/>
    <s v="Ms Beverley  Shelley"/>
    <s v="bevmitchell2011@gmail.com"/>
    <d v="2022-03-22T00:00:00"/>
    <m/>
    <m/>
    <n v="0"/>
    <s v="USD"/>
    <n v="45"/>
    <m/>
    <x v="1"/>
    <x v="2"/>
    <n v="45"/>
  </r>
  <r>
    <n v="384"/>
    <s v="RDT2022032213"/>
    <x v="0"/>
    <x v="3"/>
    <x v="3"/>
    <s v="Singapore"/>
    <s v="Sri Lanka"/>
    <x v="11"/>
    <s v="Mr Ivan Gosio"/>
    <s v="jacintacarafi1@gmail.com"/>
    <d v="2022-03-18T00:00:00"/>
    <d v="2022-04-14T00:00:00"/>
    <d v="2022-04-19T00:00:00"/>
    <n v="5"/>
    <s v="USD"/>
    <n v="1759.02"/>
    <m/>
    <x v="3"/>
    <x v="11"/>
    <n v="1759.02"/>
  </r>
  <r>
    <n v="385"/>
    <s v="RDT2022032208"/>
    <x v="0"/>
    <x v="0"/>
    <x v="4"/>
    <s v="United Kingdom"/>
    <s v="Sri Lanka"/>
    <x v="1"/>
    <s v="Mr Thomas Charles Jennings"/>
    <s v="tomcjennings@gmail.com"/>
    <d v="2022-03-17T00:00:00"/>
    <d v="2022-04-07T00:00:00"/>
    <d v="2022-04-21T00:00:00"/>
    <n v="14"/>
    <s v="USD"/>
    <n v="13601.23"/>
    <m/>
    <x v="3"/>
    <x v="11"/>
    <n v="13601.23"/>
  </r>
  <r>
    <n v="386"/>
    <s v="RDT2022032207"/>
    <x v="0"/>
    <x v="0"/>
    <x v="3"/>
    <s v="United Kingdom"/>
    <s v="Sri Lanka"/>
    <x v="1"/>
    <s v="Mr James Portway"/>
    <s v="jportway@combstannery.co.uk"/>
    <d v="2022-03-16T00:00:00"/>
    <d v="2022-04-19T00:00:00"/>
    <d v="2022-05-03T00:00:00"/>
    <n v="14"/>
    <s v="USD"/>
    <n v="5991.4"/>
    <m/>
    <x v="3"/>
    <x v="11"/>
    <n v="5991.4"/>
  </r>
  <r>
    <n v="387"/>
    <s v="RDT2022032200"/>
    <x v="0"/>
    <x v="0"/>
    <x v="4"/>
    <s v="United Kingdom"/>
    <s v="Sri Lanka"/>
    <x v="1"/>
    <s v="Mr Edward  Anthony Petter"/>
    <s v="nickhartley7@yahoo.co.uk"/>
    <d v="2022-03-15T00:00:00"/>
    <d v="2022-12-14T00:00:00"/>
    <d v="2023-01-02T00:00:00"/>
    <n v="19"/>
    <s v="USD"/>
    <n v="13951.7"/>
    <m/>
    <x v="3"/>
    <x v="3"/>
    <n v="13951.7"/>
  </r>
  <r>
    <n v="388"/>
    <s v="RDT2022032198"/>
    <x v="0"/>
    <x v="0"/>
    <x v="4"/>
    <s v="United Kingdom"/>
    <s v="Sri Lanka"/>
    <x v="1"/>
    <s v="Mrs Lily Allison Rogers"/>
    <s v="lilyallison@gmail.com"/>
    <d v="2022-03-14T00:00:00"/>
    <d v="2022-03-19T00:00:00"/>
    <d v="2022-03-28T00:00:00"/>
    <n v="9"/>
    <s v="USD"/>
    <n v="660"/>
    <m/>
    <x v="3"/>
    <x v="0"/>
    <n v="660"/>
  </r>
  <r>
    <n v="389"/>
    <s v="SLIS2022032194"/>
    <x v="1"/>
    <x v="0"/>
    <x v="3"/>
    <s v="Singapore"/>
    <s v="Sri Lanka"/>
    <x v="28"/>
    <s v="Mr Tamas Balogh"/>
    <s v="baloghtamas.hu@gmail.com | robotkaberni@gmail.com"/>
    <d v="2022-03-14T00:00:00"/>
    <d v="2022-03-24T00:00:00"/>
    <d v="2022-04-02T00:00:00"/>
    <n v="9"/>
    <s v="USD"/>
    <n v="2412.7600000000002"/>
    <m/>
    <x v="3"/>
    <x v="0"/>
    <n v="2412.7600000000002"/>
  </r>
  <r>
    <n v="390"/>
    <s v="RDT2022032190"/>
    <x v="0"/>
    <x v="0"/>
    <x v="3"/>
    <s v="Singapore"/>
    <s v="Sri Lanka"/>
    <x v="11"/>
    <s v="Mrs Silvia Furlanetto"/>
    <s v="silvia.furlanetto79@gmail.com"/>
    <d v="2022-03-12T00:00:00"/>
    <d v="2022-04-01T00:00:00"/>
    <d v="2022-04-09T00:00:00"/>
    <n v="8"/>
    <s v="USD"/>
    <n v="4661.84"/>
    <m/>
    <x v="3"/>
    <x v="11"/>
    <n v="4661.84"/>
  </r>
  <r>
    <n v="391"/>
    <s v="RDT2022032189"/>
    <x v="0"/>
    <x v="0"/>
    <x v="4"/>
    <s v="Singapore"/>
    <s v="Sri Lanka"/>
    <x v="13"/>
    <s v="Mr Robert   Laurence Disney"/>
    <s v="robertdisney@fb.com"/>
    <d v="2022-03-12T00:00:00"/>
    <d v="2022-03-20T00:00:00"/>
    <d v="2022-04-02T00:00:00"/>
    <n v="13"/>
    <s v="USD"/>
    <n v="3910.31"/>
    <m/>
    <x v="3"/>
    <x v="0"/>
    <n v="3910.31"/>
  </r>
  <r>
    <n v="392"/>
    <s v="SLIS2022032184"/>
    <x v="1"/>
    <x v="3"/>
    <x v="3"/>
    <s v="Spain"/>
    <s v="Sri Lanka"/>
    <x v="18"/>
    <s v="Mrs Ines  Gari"/>
    <s v="inesgari@horizontal.com.es"/>
    <d v="2022-03-11T00:00:00"/>
    <d v="2022-04-02T00:00:00"/>
    <d v="2022-04-12T00:00:00"/>
    <n v="10"/>
    <s v="USD"/>
    <n v="2550"/>
    <m/>
    <x v="3"/>
    <x v="11"/>
    <n v="2550"/>
  </r>
  <r>
    <n v="393"/>
    <s v="RDT2022032179"/>
    <x v="0"/>
    <x v="3"/>
    <x v="3"/>
    <s v="Argentina"/>
    <s v="Sri Lanka"/>
    <x v="29"/>
    <s v="Mr Ricciardi  Matias"/>
    <s v="matiasricciardi@hotmail.com"/>
    <d v="2022-03-11T00:00:00"/>
    <d v="2022-03-18T00:00:00"/>
    <d v="2022-03-27T00:00:00"/>
    <n v="9"/>
    <s v="USD"/>
    <n v="4865.7"/>
    <m/>
    <x v="3"/>
    <x v="0"/>
    <n v="4865.7"/>
  </r>
  <r>
    <n v="394"/>
    <s v="SLIS2022032166"/>
    <x v="1"/>
    <x v="0"/>
    <x v="4"/>
    <s v="South Africa"/>
    <s v="Sri Lanka"/>
    <x v="30"/>
    <s v="Mr Nadeem Mahomed"/>
    <s v="nmahomed@gmail.com"/>
    <d v="2022-03-09T00:00:00"/>
    <d v="2022-03-17T00:00:00"/>
    <d v="2022-03-26T00:00:00"/>
    <n v="9"/>
    <s v="USD"/>
    <n v="1277.45"/>
    <m/>
    <x v="3"/>
    <x v="0"/>
    <n v="1277.45"/>
  </r>
  <r>
    <n v="395"/>
    <s v="RDT2022032158"/>
    <x v="0"/>
    <x v="0"/>
    <x v="3"/>
    <s v="United Kingdom"/>
    <s v="Sri Lanka"/>
    <x v="1"/>
    <s v="Mr Oliver Davies"/>
    <s v="alpal126@hotmail.co.uk"/>
    <d v="2022-03-07T00:00:00"/>
    <d v="2022-04-30T00:00:00"/>
    <d v="2022-05-13T00:00:00"/>
    <n v="13"/>
    <s v="USD"/>
    <n v="4290.32"/>
    <m/>
    <x v="3"/>
    <x v="11"/>
    <n v="4290.32"/>
  </r>
  <r>
    <n v="396"/>
    <s v="RDT2022032156"/>
    <x v="0"/>
    <x v="3"/>
    <x v="3"/>
    <s v="United Kingdom"/>
    <s v="Sri Lanka"/>
    <x v="1"/>
    <s v="Mr Anthony Belford"/>
    <s v="tony.belford3821@gmail.com"/>
    <d v="2022-03-07T00:00:00"/>
    <d v="2022-04-17T00:00:00"/>
    <d v="2022-04-27T00:00:00"/>
    <n v="10"/>
    <s v="USD"/>
    <n v="9071.0499999999993"/>
    <m/>
    <x v="3"/>
    <x v="11"/>
    <n v="9071.0499999999993"/>
  </r>
  <r>
    <n v="397"/>
    <s v="RDT2022032154"/>
    <x v="0"/>
    <x v="0"/>
    <x v="4"/>
    <s v="United Kingdom"/>
    <s v="Sri Lanka"/>
    <x v="1"/>
    <s v="Dr Colette Sparey"/>
    <s v="spareyc@icloud.com"/>
    <d v="2022-03-07T00:00:00"/>
    <d v="2022-07-03T00:00:00"/>
    <d v="2022-07-24T00:00:00"/>
    <n v="21"/>
    <s v="USD"/>
    <n v="16794.16"/>
    <m/>
    <x v="3"/>
    <x v="8"/>
    <n v="16794.16"/>
  </r>
  <r>
    <n v="398"/>
    <s v="RDT2022032148"/>
    <x v="0"/>
    <x v="0"/>
    <x v="4"/>
    <s v="Spain"/>
    <s v="Sri Lanka"/>
    <x v="18"/>
    <s v="Mr Antonio  Molina Navarro"/>
    <s v="molinavarro@gmail.com"/>
    <d v="2022-03-05T00:00:00"/>
    <d v="2022-07-07T00:00:00"/>
    <d v="2022-07-16T00:00:00"/>
    <n v="9"/>
    <s v="USD"/>
    <n v="3555.7"/>
    <m/>
    <x v="3"/>
    <x v="8"/>
    <n v="3555.7"/>
  </r>
  <r>
    <n v="399"/>
    <s v="SLIS2022032143"/>
    <x v="1"/>
    <x v="3"/>
    <x v="3"/>
    <s v="United Kingdom"/>
    <s v="Sri Lanka"/>
    <x v="1"/>
    <s v="Mr Sam  Landman"/>
    <s v="samlandman@hotmail.co.uk"/>
    <d v="2022-03-04T00:00:00"/>
    <d v="2022-04-24T00:00:00"/>
    <d v="2022-05-07T00:00:00"/>
    <n v="13"/>
    <s v="USD"/>
    <n v="6788.59"/>
    <m/>
    <x v="3"/>
    <x v="11"/>
    <n v="6788.59"/>
  </r>
  <r>
    <n v="400"/>
    <s v="SLIS2022032142"/>
    <x v="1"/>
    <x v="2"/>
    <x v="3"/>
    <s v="Portugal"/>
    <s v="Sri Lanka"/>
    <x v="15"/>
    <s v="Mrs Isabel  Hrotko"/>
    <s v="soares_isabel@yahoo.com"/>
    <d v="2022-03-04T00:00:00"/>
    <d v="2022-06-25T00:00:00"/>
    <d v="2022-07-10T00:00:00"/>
    <n v="15"/>
    <s v="USD"/>
    <n v="11930.08"/>
    <m/>
    <x v="3"/>
    <x v="9"/>
    <n v="11930.08"/>
  </r>
  <r>
    <n v="401"/>
    <s v="RDT2022032130"/>
    <x v="0"/>
    <x v="3"/>
    <x v="4"/>
    <s v="United Kingdom"/>
    <s v="Sri Lanka"/>
    <x v="1"/>
    <s v="Ms Roshana Gammampila"/>
    <s v="ROSHANA.GAMMAMPILA@GMAIL.COM"/>
    <d v="2022-03-02T00:00:00"/>
    <d v="2022-04-10T00:00:00"/>
    <d v="2022-04-14T00:00:00"/>
    <n v="4"/>
    <s v="USD"/>
    <n v="5600"/>
    <m/>
    <x v="3"/>
    <x v="11"/>
    <n v="5600"/>
  </r>
  <r>
    <n v="402"/>
    <s v="SLIS2022022124"/>
    <x v="1"/>
    <x v="2"/>
    <x v="2"/>
    <s v="United Kingdom"/>
    <s v="Sri Lanka"/>
    <x v="1"/>
    <s v="Mr Arul Kanagarajah"/>
    <s v="aganeshan@hotmail.com"/>
    <d v="2022-02-28T00:00:00"/>
    <d v="2022-04-03T00:00:00"/>
    <d v="2022-04-10T00:00:00"/>
    <n v="7"/>
    <s v="GBP"/>
    <n v="3192.42"/>
    <m/>
    <x v="3"/>
    <x v="11"/>
    <n v="3192.42"/>
  </r>
  <r>
    <n v="403"/>
    <s v="RDT2022022105"/>
    <x v="0"/>
    <x v="0"/>
    <x v="4"/>
    <s v="United Kingdom"/>
    <s v="Sri Lanka"/>
    <x v="1"/>
    <s v="Mr Martyn  Jones"/>
    <s v="martynrjones2@gmail.com"/>
    <d v="2022-02-24T00:00:00"/>
    <d v="2022-04-13T00:00:00"/>
    <d v="2022-04-18T00:00:00"/>
    <n v="5"/>
    <s v="USD"/>
    <n v="3041.77"/>
    <m/>
    <x v="3"/>
    <x v="11"/>
    <n v="3041.77"/>
  </r>
  <r>
    <n v="404"/>
    <s v="RDT2022022086"/>
    <x v="0"/>
    <x v="0"/>
    <x v="9"/>
    <s v="Turkey"/>
    <s v="Sri Lanka"/>
    <x v="1"/>
    <s v="Mr Antony Greenwood"/>
    <s v="gwood@boun.edu.tr"/>
    <d v="2022-02-22T00:00:00"/>
    <d v="2022-03-14T00:00:00"/>
    <d v="2022-03-28T00:00:00"/>
    <n v="14"/>
    <s v="USD"/>
    <n v="2993.62"/>
    <m/>
    <x v="3"/>
    <x v="0"/>
    <n v="2993.62"/>
  </r>
  <r>
    <n v="405"/>
    <s v="SLIS2022022083"/>
    <x v="1"/>
    <x v="0"/>
    <x v="7"/>
    <s v="Spain"/>
    <s v="Sri Lanka"/>
    <x v="18"/>
    <s v="Mr DANIEL MALDONADO"/>
    <s v="maldonadoemo.daniel@gmail.com"/>
    <d v="2022-02-21T00:00:00"/>
    <d v="2022-03-08T00:00:00"/>
    <d v="2022-03-19T00:00:00"/>
    <n v="11"/>
    <s v="USD"/>
    <n v="6217.09"/>
    <m/>
    <x v="3"/>
    <x v="0"/>
    <n v="6217.09"/>
  </r>
  <r>
    <n v="406"/>
    <s v="SLIS2022022072"/>
    <x v="1"/>
    <x v="3"/>
    <x v="3"/>
    <s v="Spain"/>
    <s v="Sri Lanka"/>
    <x v="18"/>
    <s v="Mr Bernie  C /O Miguel"/>
    <s v=",bcorbera@edrem.es"/>
    <d v="2022-02-19T00:00:00"/>
    <d v="2022-04-08T00:00:00"/>
    <d v="2022-04-19T00:00:00"/>
    <n v="11"/>
    <s v="USD"/>
    <n v="7291.81"/>
    <m/>
    <x v="3"/>
    <x v="11"/>
    <n v="7291.81"/>
  </r>
  <r>
    <n v="407"/>
    <s v="RDT2022022068"/>
    <x v="0"/>
    <x v="0"/>
    <x v="3"/>
    <s v="United Kingdom"/>
    <s v="Sri Lanka"/>
    <x v="1"/>
    <s v="Ms Dannielle  Lam"/>
    <s v="danniellelam@hotmail.com"/>
    <d v="2022-02-19T00:00:00"/>
    <d v="2022-03-03T00:00:00"/>
    <d v="2022-03-15T00:00:00"/>
    <n v="12"/>
    <s v="USD"/>
    <n v="4294.0600000000004"/>
    <m/>
    <x v="3"/>
    <x v="0"/>
    <n v="4294.0600000000004"/>
  </r>
  <r>
    <n v="408"/>
    <s v="RDT2022022066"/>
    <x v="0"/>
    <x v="0"/>
    <x v="3"/>
    <s v="United Kingdom"/>
    <s v="Sri Lanka"/>
    <x v="1"/>
    <s v="Ms Dannielle Lam"/>
    <s v="danniellelam@hotmail.com"/>
    <d v="2022-02-18T00:00:00"/>
    <d v="2022-03-02T00:00:00"/>
    <d v="2022-03-02T00:00:00"/>
    <n v="0"/>
    <s v="USD"/>
    <n v="3206.91"/>
    <m/>
    <x v="3"/>
    <x v="0"/>
    <n v="3206.91"/>
  </r>
  <r>
    <n v="409"/>
    <s v="RDT2022022064"/>
    <x v="0"/>
    <x v="0"/>
    <x v="2"/>
    <s v="United Kingdom"/>
    <s v="Sri Lanka"/>
    <x v="1"/>
    <s v="Ms Anne Varney"/>
    <s v="af.varney@btinternet.com"/>
    <d v="2022-02-18T00:00:00"/>
    <d v="2022-03-16T00:00:00"/>
    <d v="2022-03-30T00:00:00"/>
    <n v="14"/>
    <s v="GBP"/>
    <n v="6874.1"/>
    <m/>
    <x v="3"/>
    <x v="0"/>
    <n v="6874.1"/>
  </r>
  <r>
    <n v="410"/>
    <s v="RDT2022022061"/>
    <x v="0"/>
    <x v="0"/>
    <x v="4"/>
    <s v="United Kingdom"/>
    <s v="Sri Lanka"/>
    <x v="1"/>
    <s v="Mr David  Andrew Brown"/>
    <s v="d.brown@altairllp.co.uk,d.brown@altairllp.co.uk"/>
    <d v="2022-02-18T00:00:00"/>
    <d v="2022-08-14T00:00:00"/>
    <d v="2022-08-28T00:00:00"/>
    <n v="14"/>
    <s v="USD"/>
    <n v="4407.29"/>
    <m/>
    <x v="3"/>
    <x v="7"/>
    <n v="4407.29"/>
  </r>
  <r>
    <n v="411"/>
    <s v="RDT2022022057"/>
    <x v="0"/>
    <x v="0"/>
    <x v="3"/>
    <s v="United Kingdom"/>
    <s v="Sri Lanka"/>
    <x v="1"/>
    <s v="Ms Clare  Clarke"/>
    <s v="clare.clarke@zoho.com"/>
    <d v="2022-02-17T00:00:00"/>
    <d v="2022-03-25T00:00:00"/>
    <d v="2022-04-09T00:00:00"/>
    <n v="15"/>
    <s v="USD"/>
    <n v="5134.3599999999997"/>
    <m/>
    <x v="3"/>
    <x v="0"/>
    <n v="5134.3599999999997"/>
  </r>
  <r>
    <n v="412"/>
    <s v="RDT2022022056"/>
    <x v="0"/>
    <x v="0"/>
    <x v="3"/>
    <s v="United Kingdom"/>
    <s v="Sri Lanka"/>
    <x v="1"/>
    <s v="Ms Clare  Clarke"/>
    <s v="clare.clarke@zoho.com"/>
    <d v="2022-02-18T00:00:00"/>
    <d v="2022-03-25T00:00:00"/>
    <d v="2022-03-25T00:00:00"/>
    <n v="0"/>
    <s v="USD"/>
    <n v="1641.89"/>
    <m/>
    <x v="3"/>
    <x v="0"/>
    <n v="1641.89"/>
  </r>
  <r>
    <n v="413"/>
    <s v="RDT2022022048"/>
    <x v="0"/>
    <x v="0"/>
    <x v="4"/>
    <s v="United Kingdom"/>
    <s v="Sri Lanka"/>
    <x v="1"/>
    <s v="Ms Rachel  Lethbridge"/>
    <s v="rachellethbridge@mac.com"/>
    <d v="2022-02-15T00:00:00"/>
    <d v="2022-03-01T00:00:00"/>
    <d v="2022-03-13T00:00:00"/>
    <n v="12"/>
    <s v="USD"/>
    <n v="4033.86"/>
    <m/>
    <x v="3"/>
    <x v="0"/>
    <n v="4033.86"/>
  </r>
  <r>
    <n v="414"/>
    <s v="RDT2022022046"/>
    <x v="0"/>
    <x v="2"/>
    <x v="4"/>
    <s v="United States of America"/>
    <s v="Sri Lanka"/>
    <x v="0"/>
    <s v="Mr Muhammad Afdhel Aziz"/>
    <s v="afdhelaziz@gmail.com"/>
    <d v="2022-02-14T00:00:00"/>
    <d v="2022-02-18T00:00:00"/>
    <d v="2022-02-27T00:00:00"/>
    <n v="9"/>
    <s v="USD"/>
    <n v="630"/>
    <m/>
    <x v="3"/>
    <x v="1"/>
    <n v="630"/>
  </r>
  <r>
    <n v="415"/>
    <s v="RDT2022022037"/>
    <x v="0"/>
    <x v="3"/>
    <x v="9"/>
    <s v="India"/>
    <s v="Sri Lanka"/>
    <x v="12"/>
    <s v="Mr Saheb Balaj"/>
    <s v="sahebbajaj@punjabsind.com"/>
    <d v="2022-02-10T00:00:00"/>
    <d v="2022-02-15T00:00:00"/>
    <d v="2022-02-20T00:00:00"/>
    <n v="5"/>
    <s v="USD"/>
    <n v="319"/>
    <m/>
    <x v="3"/>
    <x v="1"/>
    <n v="319"/>
  </r>
  <r>
    <n v="416"/>
    <s v="SLIS2022022031"/>
    <x v="1"/>
    <x v="3"/>
    <x v="7"/>
    <s v="Spain"/>
    <s v="Sri Lanka"/>
    <x v="15"/>
    <s v="Mr GON&amp;Ccedil;ALO NUNO GOMES DA COSTA"/>
    <s v="goncalo.boavida@embritive.com&gt;"/>
    <d v="2022-02-10T00:00:00"/>
    <d v="2022-02-15T00:00:00"/>
    <d v="2022-02-24T00:00:00"/>
    <n v="9"/>
    <s v="USD"/>
    <n v="8819"/>
    <m/>
    <x v="3"/>
    <x v="1"/>
    <n v="8819"/>
  </r>
  <r>
    <n v="417"/>
    <s v="SLIS2022022028"/>
    <x v="1"/>
    <x v="0"/>
    <x v="2"/>
    <s v="United Kingdom"/>
    <s v="Sri Lanka"/>
    <x v="1"/>
    <s v="Ms Shahila Perumalpillai"/>
    <s v="shahilapillai@gmail.com"/>
    <d v="2022-02-09T00:00:00"/>
    <d v="2022-04-01T00:00:00"/>
    <d v="2022-04-12T00:00:00"/>
    <n v="11"/>
    <s v="GBP"/>
    <n v="8840.5"/>
    <m/>
    <x v="3"/>
    <x v="11"/>
    <n v="8840.5"/>
  </r>
  <r>
    <n v="418"/>
    <s v="RDT2022022026"/>
    <x v="0"/>
    <x v="2"/>
    <x v="4"/>
    <s v="Belgium"/>
    <s v="Sri Lanka"/>
    <x v="31"/>
    <s v="Ms Katrin Bastijns"/>
    <s v="katrinpatrick@gmail.com"/>
    <d v="2022-02-09T00:00:00"/>
    <d v="2022-03-31T00:00:00"/>
    <d v="2022-04-08T00:00:00"/>
    <n v="8"/>
    <s v="USD"/>
    <n v="6884.06"/>
    <m/>
    <x v="3"/>
    <x v="0"/>
    <n v="6884.06"/>
  </r>
  <r>
    <n v="419"/>
    <s v="RDT2022022012"/>
    <x v="0"/>
    <x v="0"/>
    <x v="3"/>
    <s v="United Kingdom"/>
    <s v="Sri Lanka"/>
    <x v="1"/>
    <s v="Mr Robert Guy"/>
    <s v="jrc.guy@blueyonder.co.uk"/>
    <d v="2022-02-03T00:00:00"/>
    <d v="2022-02-20T00:00:00"/>
    <d v="2022-03-03T00:00:00"/>
    <n v="11"/>
    <s v="USD"/>
    <n v="5925.06"/>
    <m/>
    <x v="3"/>
    <x v="1"/>
    <n v="5925.06"/>
  </r>
  <r>
    <n v="420"/>
    <s v="RDT2022022006"/>
    <x v="0"/>
    <x v="0"/>
    <x v="3"/>
    <s v="United Kingdom"/>
    <s v="Sri Lanka"/>
    <x v="1"/>
    <s v="Mr Robert Guy"/>
    <s v="jrc.guy@blueyonder.co.uk"/>
    <d v="2022-02-02T00:00:00"/>
    <d v="2022-02-19T00:00:00"/>
    <d v="2022-02-19T00:00:00"/>
    <n v="0"/>
    <s v="USD"/>
    <n v="7115.85"/>
    <m/>
    <x v="3"/>
    <x v="1"/>
    <n v="7115.85"/>
  </r>
  <r>
    <n v="421"/>
    <s v="SLIS2022022003"/>
    <x v="1"/>
    <x v="3"/>
    <x v="7"/>
    <s v="Spain"/>
    <s v="Sri Lanka"/>
    <x v="18"/>
    <s v="Mr ALFONSO  CELA"/>
    <s v="alfonsocela@gmail.com"/>
    <d v="2022-02-01T00:00:00"/>
    <d v="2022-02-28T00:00:00"/>
    <d v="2022-03-13T00:00:00"/>
    <n v="13"/>
    <s v="USD"/>
    <n v="8451"/>
    <m/>
    <x v="3"/>
    <x v="1"/>
    <n v="8451"/>
  </r>
  <r>
    <n v="422"/>
    <s v="SLIS2022022002"/>
    <x v="1"/>
    <x v="0"/>
    <x v="4"/>
    <s v="United Kingdom"/>
    <s v="Sri Lanka"/>
    <x v="1"/>
    <s v="Mrs Susanne Rothwell"/>
    <s v="susypatterson@gmail.com"/>
    <d v="2022-02-01T00:00:00"/>
    <d v="2022-03-18T00:00:00"/>
    <d v="2022-03-29T00:00:00"/>
    <n v="11"/>
    <s v="USD"/>
    <n v="7059.91"/>
    <m/>
    <x v="3"/>
    <x v="0"/>
    <n v="7059.91"/>
  </r>
  <r>
    <n v="423"/>
    <s v="RDT2022011996"/>
    <x v="0"/>
    <x v="0"/>
    <x v="4"/>
    <s v="United Kingdom"/>
    <s v="Sri Lanka"/>
    <x v="1"/>
    <s v="Ms Debra  Berzin-Cohen"/>
    <s v="ampasand@aol.com"/>
    <d v="2022-01-31T00:00:00"/>
    <d v="2022-02-18T00:00:00"/>
    <d v="2022-03-11T00:00:00"/>
    <n v="21"/>
    <s v="USD"/>
    <n v="17836.189999999999"/>
    <m/>
    <x v="3"/>
    <x v="1"/>
    <n v="17836.189999999999"/>
  </r>
  <r>
    <n v="424"/>
    <s v="SLIS2022011994"/>
    <x v="1"/>
    <x v="0"/>
    <x v="3"/>
    <s v="United States of America"/>
    <s v="Sri Lanka"/>
    <x v="0"/>
    <s v="Mr Ross Peet"/>
    <s v="rosscpeet@gmail.com"/>
    <d v="2022-01-30T00:00:00"/>
    <d v="2022-02-20T00:00:00"/>
    <d v="2022-02-25T00:00:00"/>
    <n v="5"/>
    <s v="USD"/>
    <n v="10439.89"/>
    <m/>
    <x v="3"/>
    <x v="1"/>
    <n v="10439.89"/>
  </r>
  <r>
    <n v="425"/>
    <s v="RDT2022011991"/>
    <x v="0"/>
    <x v="0"/>
    <x v="2"/>
    <s v="United Kingdom"/>
    <s v="Sri Lanka"/>
    <x v="1"/>
    <s v="Ms Rebecca Moss"/>
    <s v="beckygmoss@hotmail.com"/>
    <d v="2022-01-30T00:00:00"/>
    <d v="2022-04-03T00:00:00"/>
    <d v="2022-04-17T00:00:00"/>
    <n v="14"/>
    <s v="GBP"/>
    <n v="4761.6400000000003"/>
    <m/>
    <x v="3"/>
    <x v="11"/>
    <n v="4761.6400000000003"/>
  </r>
  <r>
    <n v="426"/>
    <s v="SLIS2022011978"/>
    <x v="1"/>
    <x v="0"/>
    <x v="2"/>
    <s v="United Kingdom"/>
    <s v="Sri Lanka"/>
    <x v="1"/>
    <s v="Ms Nicola Biltoo"/>
    <s v="nikibiltoo@hotmail.com"/>
    <d v="2022-01-27T00:00:00"/>
    <d v="2022-04-03T00:00:00"/>
    <d v="2022-04-16T00:00:00"/>
    <n v="13"/>
    <s v="GBP"/>
    <n v="6585.26"/>
    <m/>
    <x v="3"/>
    <x v="11"/>
    <n v="6585.26"/>
  </r>
  <r>
    <n v="427"/>
    <s v="RDT2022011969"/>
    <x v="0"/>
    <x v="0"/>
    <x v="3"/>
    <s v="United Kingdom"/>
    <s v="Sri Lanka"/>
    <x v="1"/>
    <s v="Mr William Woodhead"/>
    <s v="w.woodhead@hotmail.com"/>
    <d v="2022-01-24T00:00:00"/>
    <d v="2022-01-14T00:00:00"/>
    <d v="2022-02-19T00:00:00"/>
    <n v="36"/>
    <s v="USD"/>
    <n v="390"/>
    <m/>
    <x v="3"/>
    <x v="2"/>
    <n v="390"/>
  </r>
  <r>
    <n v="428"/>
    <s v="RDT2022011967"/>
    <x v="0"/>
    <x v="3"/>
    <x v="3"/>
    <s v="United Kingdom"/>
    <s v="Sri Lanka"/>
    <x v="1"/>
    <s v="Mrs Smita Shah"/>
    <s v="smita.shah2020@outlook.com"/>
    <d v="2022-01-24T00:00:00"/>
    <d v="2022-02-23T00:00:00"/>
    <d v="2022-03-06T00:00:00"/>
    <n v="11"/>
    <s v="USD"/>
    <n v="3372.8"/>
    <m/>
    <x v="3"/>
    <x v="1"/>
    <n v="3372.8"/>
  </r>
  <r>
    <n v="429"/>
    <s v="RDT2022011964"/>
    <x v="0"/>
    <x v="0"/>
    <x v="4"/>
    <s v="United Kingdom"/>
    <s v="Sri Lanka"/>
    <x v="1"/>
    <s v="Mr Miles  David Rothery Skinner"/>
    <s v="mdrskinner@googlemail.com"/>
    <d v="2022-01-23T00:00:00"/>
    <d v="2022-01-26T00:00:00"/>
    <d v="2022-02-09T00:00:00"/>
    <n v="14"/>
    <s v="USD"/>
    <n v="10596.45"/>
    <m/>
    <x v="3"/>
    <x v="2"/>
    <n v="10596.45"/>
  </r>
  <r>
    <n v="430"/>
    <s v="SLIS2022011963"/>
    <x v="1"/>
    <x v="0"/>
    <x v="3"/>
    <s v="Singapore"/>
    <s v="Sri Lanka"/>
    <x v="14"/>
    <s v="Mrs Pauline Howard"/>
    <s v=",paulineles@hotmail.com"/>
    <d v="2022-01-23T00:00:00"/>
    <d v="2022-02-25T00:00:00"/>
    <d v="2022-03-06T00:00:00"/>
    <n v="9"/>
    <s v="USD"/>
    <n v="12708.2"/>
    <m/>
    <x v="3"/>
    <x v="1"/>
    <n v="12708.2"/>
  </r>
  <r>
    <n v="431"/>
    <s v="RDT2022011959"/>
    <x v="0"/>
    <x v="3"/>
    <x v="3"/>
    <s v="United Kingdom"/>
    <s v="Sri Lanka"/>
    <x v="1"/>
    <s v="Mrs Heather  Lockwood"/>
    <s v="Heather.lockwood43@ntlworld.com"/>
    <d v="2022-01-22T00:00:00"/>
    <d v="2022-02-18T00:00:00"/>
    <d v="2022-02-24T00:00:00"/>
    <n v="6"/>
    <s v="USD"/>
    <n v="1915.15"/>
    <m/>
    <x v="3"/>
    <x v="1"/>
    <n v="1915.15"/>
  </r>
  <r>
    <n v="432"/>
    <s v="RDT2022011958"/>
    <x v="0"/>
    <x v="3"/>
    <x v="3"/>
    <s v="United Kingdom"/>
    <s v="Sri Lanka"/>
    <x v="1"/>
    <s v="Mrs Heather  Lockwood"/>
    <s v="Heather.lockwood43@ntlworld.com"/>
    <d v="2022-01-22T00:00:00"/>
    <d v="2022-02-15T00:00:00"/>
    <d v="2022-02-17T00:00:00"/>
    <n v="2"/>
    <s v="USD"/>
    <n v="1342.54"/>
    <m/>
    <x v="3"/>
    <x v="1"/>
    <n v="1342.54"/>
  </r>
  <r>
    <n v="433"/>
    <s v="RDT2022011954"/>
    <x v="0"/>
    <x v="3"/>
    <x v="4"/>
    <s v="United Kingdom"/>
    <s v="Sri Lanka"/>
    <x v="1"/>
    <s v="Mr Simon  Jack Turley"/>
    <s v="simonjturley@hotmail.co.uk"/>
    <d v="2022-01-21T00:00:00"/>
    <d v="2022-02-23T00:00:00"/>
    <d v="2022-03-15T00:00:00"/>
    <n v="20"/>
    <s v="USD"/>
    <n v="6090.97"/>
    <m/>
    <x v="3"/>
    <x v="1"/>
    <n v="6090.97"/>
  </r>
  <r>
    <n v="434"/>
    <s v="RDT2022011953"/>
    <x v="0"/>
    <x v="3"/>
    <x v="4"/>
    <s v="United Kingdom"/>
    <s v="Sri Lanka"/>
    <x v="1"/>
    <s v="Mr Arthur  Christopher Orchard"/>
    <s v="corchard1@btopenworld.com"/>
    <d v="2022-01-21T00:00:00"/>
    <d v="2022-02-19T00:00:00"/>
    <d v="2022-02-26T00:00:00"/>
    <n v="7"/>
    <s v="USD"/>
    <n v="2431.75"/>
    <m/>
    <x v="3"/>
    <x v="1"/>
    <n v="2431.75"/>
  </r>
  <r>
    <n v="435"/>
    <s v="RDT2022011951"/>
    <x v="0"/>
    <x v="0"/>
    <x v="3"/>
    <s v="United Kingdom"/>
    <s v="Sri Lanka"/>
    <x v="1"/>
    <s v="Ms Azaria Murray"/>
    <s v="azaria.murray@hotmail.co.uk"/>
    <d v="2022-01-21T00:00:00"/>
    <d v="2022-01-22T00:00:00"/>
    <d v="2022-02-04T00:00:00"/>
    <n v="13"/>
    <s v="USD"/>
    <n v="3502.96"/>
    <m/>
    <x v="3"/>
    <x v="2"/>
    <n v="3502.96"/>
  </r>
  <r>
    <n v="436"/>
    <s v="SLIS2022011940"/>
    <x v="1"/>
    <x v="3"/>
    <x v="3"/>
    <s v="Russia"/>
    <s v="Sri Lanka"/>
    <x v="32"/>
    <s v="Mr Test Test"/>
    <m/>
    <d v="2022-01-19T00:00:00"/>
    <d v="2022-01-04T00:00:00"/>
    <d v="2022-01-04T00:00:00"/>
    <n v="0"/>
    <s v="USD"/>
    <n v="250"/>
    <m/>
    <x v="3"/>
    <x v="2"/>
    <n v="250"/>
  </r>
  <r>
    <n v="437"/>
    <s v="RDT2022011937"/>
    <x v="0"/>
    <x v="0"/>
    <x v="3"/>
    <s v="United Kingdom"/>
    <s v="Sri Lanka"/>
    <x v="1"/>
    <s v="Ms Ella Mould"/>
    <m/>
    <d v="2022-01-18T00:00:00"/>
    <d v="2022-03-18T00:00:00"/>
    <d v="2022-04-02T00:00:00"/>
    <n v="15"/>
    <s v="USD"/>
    <n v="4682.79"/>
    <m/>
    <x v="3"/>
    <x v="0"/>
    <n v="4682.79"/>
  </r>
  <r>
    <n v="438"/>
    <s v="RDT2022011935"/>
    <x v="0"/>
    <x v="0"/>
    <x v="3"/>
    <s v="United Kingdom"/>
    <s v="Sri Lanka"/>
    <x v="1"/>
    <s v="Mrs Grania Langdon - Down"/>
    <s v="graniald4@gmail.com"/>
    <d v="2022-01-18T00:00:00"/>
    <d v="2022-02-07T00:00:00"/>
    <d v="2022-02-14T00:00:00"/>
    <n v="7"/>
    <s v="USD"/>
    <n v="1716.2"/>
    <m/>
    <x v="3"/>
    <x v="1"/>
    <n v="1716.2"/>
  </r>
  <r>
    <n v="439"/>
    <s v="RDT2022011934"/>
    <x v="0"/>
    <x v="0"/>
    <x v="4"/>
    <s v="Slovenia"/>
    <s v="Sri Lanka"/>
    <x v="33"/>
    <s v="Mr Rajko  Knežević"/>
    <s v="rknezevic@gmail.com"/>
    <d v="2022-01-18T00:00:00"/>
    <d v="2022-02-21T00:00:00"/>
    <d v="2022-03-06T00:00:00"/>
    <n v="13"/>
    <s v="USD"/>
    <n v="6493.69"/>
    <m/>
    <x v="3"/>
    <x v="1"/>
    <n v="6493.69"/>
  </r>
  <r>
    <n v="440"/>
    <s v="RDT2022011930"/>
    <x v="0"/>
    <x v="0"/>
    <x v="4"/>
    <s v="United Kingdom"/>
    <s v="Sri Lanka"/>
    <x v="1"/>
    <s v="Mr Philip  Rea"/>
    <s v="p.rea@uk.cdw.com"/>
    <d v="2022-01-17T00:00:00"/>
    <d v="2022-04-03T00:00:00"/>
    <d v="2022-04-16T00:00:00"/>
    <n v="13"/>
    <s v="USD"/>
    <n v="8962.75"/>
    <m/>
    <x v="3"/>
    <x v="11"/>
    <n v="8962.75"/>
  </r>
  <r>
    <n v="441"/>
    <s v="RDT2022011928"/>
    <x v="0"/>
    <x v="0"/>
    <x v="4"/>
    <s v="United States of America"/>
    <s v="Sri Lanka"/>
    <x v="0"/>
    <s v="Mrs Wendy F. Beach"/>
    <s v="wendy@basinharbor.com"/>
    <d v="2022-01-17T00:00:00"/>
    <d v="2022-01-23T00:00:00"/>
    <d v="2022-03-01T00:00:00"/>
    <n v="37"/>
    <s v="USD"/>
    <n v="19353.89"/>
    <m/>
    <x v="3"/>
    <x v="2"/>
    <n v="19353.89"/>
  </r>
  <r>
    <n v="442"/>
    <s v="RDT2022011926"/>
    <x v="0"/>
    <x v="0"/>
    <x v="3"/>
    <s v="United Kingdom"/>
    <s v="Sri Lanka"/>
    <x v="1"/>
    <s v="Mr Benedict  Elliott"/>
    <m/>
    <d v="2022-01-15T00:00:00"/>
    <d v="2022-02-08T00:00:00"/>
    <d v="2022-02-21T00:00:00"/>
    <n v="13"/>
    <s v="USD"/>
    <n v="10057.26"/>
    <m/>
    <x v="3"/>
    <x v="1"/>
    <n v="10057.26"/>
  </r>
  <r>
    <n v="443"/>
    <s v="SLIS2022011919"/>
    <x v="1"/>
    <x v="3"/>
    <x v="10"/>
    <s v="Spain"/>
    <s v="Sri Lanka"/>
    <x v="18"/>
    <s v="Mr Carlos Vidal"/>
    <s v="cevf54@gmail.com"/>
    <d v="2022-01-12T00:00:00"/>
    <d v="2022-07-06T00:00:00"/>
    <d v="2022-07-21T00:00:00"/>
    <n v="15"/>
    <s v="USD"/>
    <n v="9425.6200000000008"/>
    <m/>
    <x v="3"/>
    <x v="8"/>
    <n v="9425.6200000000008"/>
  </r>
  <r>
    <n v="444"/>
    <s v="RDT2022011914"/>
    <x v="0"/>
    <x v="0"/>
    <x v="2"/>
    <s v="United Kingdom"/>
    <s v="Sri Lanka"/>
    <x v="1"/>
    <s v="Mr Paul Atken"/>
    <s v="Paitken1973@googlemail.com"/>
    <d v="2022-01-12T00:00:00"/>
    <d v="2022-02-02T00:00:00"/>
    <d v="2022-02-05T00:00:00"/>
    <n v="3"/>
    <s v="USD"/>
    <n v="292"/>
    <m/>
    <x v="3"/>
    <x v="1"/>
    <n v="292"/>
  </r>
  <r>
    <n v="445"/>
    <s v="RDT2022011912"/>
    <x v="0"/>
    <x v="0"/>
    <x v="3"/>
    <s v="United Kingdom"/>
    <s v="Sri Lanka"/>
    <x v="1"/>
    <s v="Mrs Janet Brownrigg Gleeson"/>
    <s v="gleesonjanet@hotmail.com"/>
    <d v="2022-01-11T00:00:00"/>
    <d v="2022-02-03T00:00:00"/>
    <d v="2022-02-24T00:00:00"/>
    <n v="21"/>
    <s v="USD"/>
    <n v="10077.370000000001"/>
    <m/>
    <x v="3"/>
    <x v="1"/>
    <n v="10077.370000000001"/>
  </r>
  <r>
    <n v="446"/>
    <s v="RDT2022011906"/>
    <x v="0"/>
    <x v="2"/>
    <x v="4"/>
    <s v="United Kingdom"/>
    <s v="Sri Lanka"/>
    <x v="1"/>
    <s v="Mrs Laura Forbes-Coy"/>
    <s v="laura@forbes-coy.com"/>
    <d v="2022-01-08T00:00:00"/>
    <d v="2022-04-09T00:00:00"/>
    <d v="2022-04-20T00:00:00"/>
    <n v="11"/>
    <s v="USD"/>
    <n v="14835.14"/>
    <m/>
    <x v="3"/>
    <x v="11"/>
    <n v="14835.14"/>
  </r>
  <r>
    <n v="447"/>
    <s v="RDT2022011905"/>
    <x v="0"/>
    <x v="0"/>
    <x v="4"/>
    <s v="United Kingdom"/>
    <s v="Sri Lanka"/>
    <x v="1"/>
    <s v="Mr Robin Maulik"/>
    <s v="robin.maulik@gmail.com"/>
    <d v="2022-01-08T00:00:00"/>
    <d v="2022-01-29T00:00:00"/>
    <d v="2022-02-08T00:00:00"/>
    <n v="10"/>
    <s v="USD"/>
    <n v="3840.86"/>
    <m/>
    <x v="3"/>
    <x v="2"/>
    <n v="3840.86"/>
  </r>
  <r>
    <n v="448"/>
    <s v="RDT2022011902"/>
    <x v="0"/>
    <x v="0"/>
    <x v="4"/>
    <s v="United Kingdom"/>
    <s v="Sri Lanka"/>
    <x v="1"/>
    <s v="Mr Frederick Riley"/>
    <s v="mark.riley@xenogenix.co.uk"/>
    <d v="2022-01-05T00:00:00"/>
    <d v="2022-01-31T00:00:00"/>
    <d v="2022-02-11T00:00:00"/>
    <n v="11"/>
    <s v="USD"/>
    <n v="6145.06"/>
    <m/>
    <x v="3"/>
    <x v="2"/>
    <n v="6145.06"/>
  </r>
  <r>
    <n v="449"/>
    <s v="RDT2022011901"/>
    <x v="0"/>
    <x v="2"/>
    <x v="4"/>
    <s v="United Kingdom"/>
    <s v="Sri Lanka"/>
    <x v="1"/>
    <s v="Mr Mark Evans"/>
    <s v="jamarkevans@gmail.com"/>
    <d v="2022-01-05T00:00:00"/>
    <d v="2022-02-12T00:00:00"/>
    <d v="2022-02-19T00:00:00"/>
    <n v="7"/>
    <s v="USD"/>
    <n v="4255.51"/>
    <m/>
    <x v="3"/>
    <x v="1"/>
    <n v="4255.51"/>
  </r>
  <r>
    <n v="450"/>
    <s v="RDT2022011900"/>
    <x v="0"/>
    <x v="2"/>
    <x v="4"/>
    <s v="United Kingdom"/>
    <s v="Sri Lanka"/>
    <x v="1"/>
    <s v="Ms Alison  Thornton"/>
    <s v="alythornton@gmail.com"/>
    <d v="2022-01-05T00:00:00"/>
    <d v="2022-02-22T00:00:00"/>
    <d v="2022-03-08T00:00:00"/>
    <n v="14"/>
    <s v="USD"/>
    <n v="4718.66"/>
    <m/>
    <x v="3"/>
    <x v="1"/>
    <n v="4718.66"/>
  </r>
  <r>
    <n v="451"/>
    <s v="RDT2022011899"/>
    <x v="0"/>
    <x v="1"/>
    <x v="11"/>
    <s v="Sri Lanka"/>
    <s v="Sri Lanka"/>
    <x v="9"/>
    <s v="Ms Lahiru Kularatne"/>
    <s v="lahiru@reddottours.com"/>
    <d v="2022-01-04T00:00:00"/>
    <d v="2022-01-09T00:00:00"/>
    <d v="2022-01-14T00:00:00"/>
    <n v="5"/>
    <s v="USD"/>
    <n v="307"/>
    <m/>
    <x v="3"/>
    <x v="2"/>
    <n v="307"/>
  </r>
  <r>
    <n v="452"/>
    <s v="SLIS2022011898"/>
    <x v="1"/>
    <x v="8"/>
    <x v="12"/>
    <s v="Chile"/>
    <s v="Sri Lanka"/>
    <x v="34"/>
    <s v="Mr Edgardo Renato Von Schroeders Edwards"/>
    <s v="nuriaf@srilankainstyle.com"/>
    <d v="2022-01-04T00:00:00"/>
    <d v="2022-01-06T00:00:00"/>
    <d v="2022-01-23T00:00:00"/>
    <n v="17"/>
    <s v="USD"/>
    <n v="1032.83"/>
    <m/>
    <x v="3"/>
    <x v="2"/>
    <n v="1032.83"/>
  </r>
  <r>
    <n v="453"/>
    <s v="RDT2022011897"/>
    <x v="0"/>
    <x v="0"/>
    <x v="4"/>
    <s v="United States of America"/>
    <s v="Sri Lanka"/>
    <x v="0"/>
    <s v="Ms Chantal  Tu"/>
    <s v="chantaltu@gmail.com"/>
    <d v="2022-01-03T00:00:00"/>
    <d v="2022-02-07T00:00:00"/>
    <d v="2022-02-14T00:00:00"/>
    <n v="7"/>
    <s v="USD"/>
    <n v="3599.19"/>
    <m/>
    <x v="3"/>
    <x v="1"/>
    <n v="3599.19"/>
  </r>
  <r>
    <n v="454"/>
    <s v="SLIS2021121896"/>
    <x v="1"/>
    <x v="3"/>
    <x v="3"/>
    <s v="Russia"/>
    <s v="Sri Lanka"/>
    <x v="32"/>
    <s v="Mr Mikhail Asvarishch"/>
    <m/>
    <d v="2021-12-30T00:00:00"/>
    <d v="2022-01-05T00:00:00"/>
    <d v="2022-01-08T00:00:00"/>
    <n v="3"/>
    <s v="USD"/>
    <n v="17221.62"/>
    <m/>
    <x v="3"/>
    <x v="2"/>
    <n v="17221.62"/>
  </r>
  <r>
    <n v="455"/>
    <s v="SLIS2021121888"/>
    <x v="1"/>
    <x v="8"/>
    <x v="12"/>
    <s v="United Kingdom"/>
    <s v="Sri Lanka"/>
    <x v="1"/>
    <s v="Mr Juan Giralt  Josa"/>
    <s v="nuriaf@srilankainstyle.com"/>
    <d v="2021-12-22T00:00:00"/>
    <d v="2022-04-08T00:00:00"/>
    <d v="2022-04-15T00:00:00"/>
    <n v="7"/>
    <s v="USD"/>
    <n v="7375.85"/>
    <m/>
    <x v="3"/>
    <x v="11"/>
    <n v="7375.85"/>
  </r>
  <r>
    <n v="456"/>
    <s v="SLIS2021121884"/>
    <x v="1"/>
    <x v="8"/>
    <x v="12"/>
    <s v="United Kingdom"/>
    <s v="Sri Lanka"/>
    <x v="1"/>
    <s v="Ms Marta Docano  Pedraza"/>
    <s v="nuriaf@srilankainstyle.com"/>
    <d v="2021-12-19T00:00:00"/>
    <d v="2022-04-24T00:00:00"/>
    <d v="2022-05-06T00:00:00"/>
    <n v="12"/>
    <s v="USD"/>
    <n v="4833.17"/>
    <m/>
    <x v="3"/>
    <x v="11"/>
    <n v="4833.17"/>
  </r>
  <r>
    <n v="457"/>
    <s v="RDT2021121879"/>
    <x v="0"/>
    <x v="2"/>
    <x v="4"/>
    <s v="United Arab Emirates"/>
    <s v="Sri Lanka"/>
    <x v="2"/>
    <s v="Mr  Martin  Varney Mclean"/>
    <s v="martin@varneymclean.com.au"/>
    <d v="2021-12-15T00:00:00"/>
    <d v="2021-12-16T00:00:00"/>
    <d v="2021-12-21T00:00:00"/>
    <n v="5"/>
    <s v="USD"/>
    <n v="3049.42"/>
    <m/>
    <x v="4"/>
    <x v="3"/>
    <n v="3049.42"/>
  </r>
  <r>
    <n v="458"/>
    <s v="RDT2021121871"/>
    <x v="0"/>
    <x v="0"/>
    <x v="4"/>
    <s v="United Kingdom"/>
    <s v="Sri Lanka"/>
    <x v="1"/>
    <s v="Mr Frederick Thomas  Ingham Clark"/>
    <s v="t.ingclark@gmail.com"/>
    <d v="2021-12-13T00:00:00"/>
    <d v="2021-12-24T00:00:00"/>
    <d v="2022-01-06T00:00:00"/>
    <n v="13"/>
    <s v="USD"/>
    <n v="1231.3399999999999"/>
    <m/>
    <x v="4"/>
    <x v="3"/>
    <n v="1231.3399999999999"/>
  </r>
  <r>
    <n v="459"/>
    <s v="SLIS2021121868"/>
    <x v="1"/>
    <x v="3"/>
    <x v="3"/>
    <s v="United Kingdom"/>
    <s v="Sri Lanka"/>
    <x v="1"/>
    <s v="Mr Jolyon Coates"/>
    <s v="Jolyon.coates@lazard.com"/>
    <d v="2021-12-11T00:00:00"/>
    <d v="2022-02-08T00:00:00"/>
    <d v="2022-02-25T00:00:00"/>
    <n v="17"/>
    <s v="USD"/>
    <n v="12959.94"/>
    <m/>
    <x v="3"/>
    <x v="1"/>
    <n v="12959.94"/>
  </r>
  <r>
    <n v="460"/>
    <s v="RDT2021121855"/>
    <x v="0"/>
    <x v="3"/>
    <x v="4"/>
    <s v="United Kingdom"/>
    <s v="Sri Lanka"/>
    <x v="1"/>
    <s v="Mrs Susan  Jennifer Sandbach"/>
    <s v="sue.sandbach@gmail.com"/>
    <d v="2021-12-02T00:00:00"/>
    <d v="2022-01-19T00:00:00"/>
    <d v="2022-02-03T00:00:00"/>
    <n v="15"/>
    <s v="USD"/>
    <n v="9378.9599999999991"/>
    <m/>
    <x v="3"/>
    <x v="2"/>
    <n v="9378.9599999999991"/>
  </r>
  <r>
    <n v="461"/>
    <s v="RDT2021121853"/>
    <x v="0"/>
    <x v="0"/>
    <x v="3"/>
    <s v="United Kingdom"/>
    <s v="Sri Lanka"/>
    <x v="1"/>
    <s v="Mr Michael  Osborne"/>
    <s v="michael.osborne@gmail.com"/>
    <d v="2021-12-01T00:00:00"/>
    <d v="2021-12-29T00:00:00"/>
    <d v="2022-01-17T00:00:00"/>
    <n v="19"/>
    <s v="USD"/>
    <n v="2744.78"/>
    <m/>
    <x v="4"/>
    <x v="3"/>
    <n v="2744.78"/>
  </r>
  <r>
    <n v="462"/>
    <s v="RDT2021111845"/>
    <x v="0"/>
    <x v="0"/>
    <x v="3"/>
    <s v="United Kingdom"/>
    <s v="Sri Lanka"/>
    <x v="1"/>
    <s v="Mrs Alka Shah"/>
    <m/>
    <d v="2021-11-25T00:00:00"/>
    <d v="2021-12-26T00:00:00"/>
    <d v="2022-01-08T00:00:00"/>
    <n v="13"/>
    <s v="USD"/>
    <n v="12114.46"/>
    <m/>
    <x v="4"/>
    <x v="3"/>
    <n v="12114.46"/>
  </r>
  <r>
    <n v="463"/>
    <s v="SLIS2021111843"/>
    <x v="1"/>
    <x v="3"/>
    <x v="3"/>
    <s v="France"/>
    <s v="Sri Lanka"/>
    <x v="14"/>
    <s v="Mr Guy Hervais"/>
    <s v="bibi@pavillondegalon.com"/>
    <d v="2021-11-25T00:00:00"/>
    <d v="2022-01-03T00:00:00"/>
    <d v="2022-02-22T00:00:00"/>
    <n v="50"/>
    <s v="USD"/>
    <n v="25990.02"/>
    <m/>
    <x v="3"/>
    <x v="2"/>
    <n v="25990.02"/>
  </r>
  <r>
    <n v="464"/>
    <s v="RDT2021111839"/>
    <x v="0"/>
    <x v="0"/>
    <x v="3"/>
    <s v="United Kingdom"/>
    <s v="Sri Lanka"/>
    <x v="1"/>
    <s v="Mrs Pamela  Codrington"/>
    <s v="pamela@oldhundred.co.uk"/>
    <d v="2021-11-23T00:00:00"/>
    <d v="2022-02-14T00:00:00"/>
    <d v="2022-02-21T00:00:00"/>
    <n v="7"/>
    <s v="USD"/>
    <n v="4061.97"/>
    <m/>
    <x v="3"/>
    <x v="1"/>
    <n v="4061.97"/>
  </r>
  <r>
    <n v="465"/>
    <s v="SLIS2021111838"/>
    <x v="1"/>
    <x v="3"/>
    <x v="3"/>
    <s v="India"/>
    <s v="Sri Lanka"/>
    <x v="12"/>
    <s v="Mr Pranav Vissanji"/>
    <s v="p.vissanji@gmail.com"/>
    <d v="2021-11-23T00:00:00"/>
    <d v="2021-12-17T00:00:00"/>
    <d v="2021-12-30T00:00:00"/>
    <n v="13"/>
    <s v="USD"/>
    <n v="2545.8000000000002"/>
    <m/>
    <x v="4"/>
    <x v="3"/>
    <n v="2545.8000000000002"/>
  </r>
  <r>
    <n v="466"/>
    <s v="RDT2021111829"/>
    <x v="0"/>
    <x v="0"/>
    <x v="4"/>
    <s v="United Kingdom"/>
    <s v="Sri Lanka"/>
    <x v="35"/>
    <s v="Ms Chayan  Acharya"/>
    <s v="cacha0227@gmail.com"/>
    <d v="2021-11-22T00:00:00"/>
    <d v="2021-12-13T00:00:00"/>
    <d v="2021-12-22T00:00:00"/>
    <n v="9"/>
    <s v="USD"/>
    <n v="1859.2"/>
    <m/>
    <x v="4"/>
    <x v="3"/>
    <n v="1859.2"/>
  </r>
  <r>
    <n v="467"/>
    <s v="RDT2021111818"/>
    <x v="0"/>
    <x v="0"/>
    <x v="4"/>
    <s v="United Kingdom"/>
    <s v="Sri Lanka"/>
    <x v="1"/>
    <s v="Mrs Elif  Campbell"/>
    <s v="campbellelif@gmail.com,campbellelif@gmail.com"/>
    <d v="2021-11-19T00:00:00"/>
    <d v="2021-12-02T00:00:00"/>
    <d v="2021-12-20T00:00:00"/>
    <n v="18"/>
    <s v="USD"/>
    <n v="8795.8700000000008"/>
    <m/>
    <x v="4"/>
    <x v="3"/>
    <n v="8795.8700000000008"/>
  </r>
  <r>
    <n v="468"/>
    <s v="RDT2021111813"/>
    <x v="0"/>
    <x v="0"/>
    <x v="4"/>
    <s v="United Kingdom"/>
    <s v="Sri Lanka"/>
    <x v="0"/>
    <s v="Ms Renae  Stein"/>
    <s v="stein_renae@yahoo.com"/>
    <d v="2021-11-16T00:00:00"/>
    <d v="2021-12-19T00:00:00"/>
    <d v="2022-01-02T00:00:00"/>
    <n v="14"/>
    <s v="USD"/>
    <n v="5861.07"/>
    <m/>
    <x v="4"/>
    <x v="3"/>
    <n v="5861.07"/>
  </r>
  <r>
    <n v="469"/>
    <s v="SLIS2021111806"/>
    <x v="1"/>
    <x v="3"/>
    <x v="13"/>
    <s v="Sri Lanka"/>
    <s v="Sri Lanka"/>
    <x v="9"/>
    <s v="Mrs Amisha De Zoysa"/>
    <s v="amishadez@hotmail.co.uk"/>
    <d v="2021-11-15T00:00:00"/>
    <d v="2021-12-21T00:00:00"/>
    <d v="2021-12-23T00:00:00"/>
    <n v="2"/>
    <s v="LKR"/>
    <n v="83300"/>
    <m/>
    <x v="4"/>
    <x v="3"/>
    <n v="83300"/>
  </r>
  <r>
    <n v="470"/>
    <s v="RDT2021111804"/>
    <x v="0"/>
    <x v="2"/>
    <x v="4"/>
    <s v="United Arab Emirates"/>
    <s v="Sri Lanka"/>
    <x v="2"/>
    <s v="Mr Martin  Varney McLean"/>
    <s v="martin@varneymclean.com.au"/>
    <d v="2021-11-13T00:00:00"/>
    <d v="2021-12-01T00:00:00"/>
    <d v="2021-12-05T00:00:00"/>
    <n v="4"/>
    <s v="USD"/>
    <n v="5460.58"/>
    <m/>
    <x v="4"/>
    <x v="3"/>
    <n v="5460.58"/>
  </r>
  <r>
    <n v="471"/>
    <s v="RDT2021111800"/>
    <x v="0"/>
    <x v="0"/>
    <x v="4"/>
    <s v="United Kingdom"/>
    <s v="Sri Lanka"/>
    <x v="1"/>
    <s v="Ms Sandra  Jones"/>
    <s v="sandyjones161@gmail.com"/>
    <d v="2021-11-12T00:00:00"/>
    <d v="2022-01-22T00:00:00"/>
    <d v="2022-02-06T00:00:00"/>
    <n v="15"/>
    <s v="USD"/>
    <n v="3539.18"/>
    <m/>
    <x v="3"/>
    <x v="2"/>
    <n v="3539.18"/>
  </r>
  <r>
    <n v="472"/>
    <s v="RDT2021111797"/>
    <x v="0"/>
    <x v="0"/>
    <x v="3"/>
    <s v="United Kingdom"/>
    <s v="Sri Lanka"/>
    <x v="1"/>
    <s v="Mrs Melanie  Raymond"/>
    <s v="melraymond@gmx.com"/>
    <d v="2021-11-12T00:00:00"/>
    <d v="2022-03-16T00:00:00"/>
    <d v="2022-03-30T00:00:00"/>
    <n v="14"/>
    <s v="USD"/>
    <n v="5013.5200000000004"/>
    <m/>
    <x v="3"/>
    <x v="0"/>
    <n v="5013.5200000000004"/>
  </r>
  <r>
    <n v="473"/>
    <s v="SLIS2021111795"/>
    <x v="1"/>
    <x v="3"/>
    <x v="3"/>
    <s v="United Kingdom"/>
    <s v="Sri Lanka"/>
    <x v="1"/>
    <s v="Ms Rose  Gore Browne"/>
    <m/>
    <d v="2021-11-12T00:00:00"/>
    <d v="2021-12-20T00:00:00"/>
    <d v="2022-01-02T00:00:00"/>
    <n v="13"/>
    <s v="USD"/>
    <n v="5383.79"/>
    <m/>
    <x v="4"/>
    <x v="3"/>
    <n v="5383.79"/>
  </r>
  <r>
    <n v="474"/>
    <s v="RDT2021111790"/>
    <x v="0"/>
    <x v="0"/>
    <x v="3"/>
    <s v="United Kingdom"/>
    <s v="Sri Lanka"/>
    <x v="1"/>
    <s v="Dr Ian Fergusson"/>
    <s v="mrsshelleyfergusson@gmail.com"/>
    <d v="2021-11-11T00:00:00"/>
    <d v="2022-07-08T00:00:00"/>
    <d v="2023-08-01T00:00:00"/>
    <m/>
    <s v="USD"/>
    <m/>
    <m/>
    <x v="3"/>
    <x v="8"/>
    <n v="0"/>
  </r>
  <r>
    <n v="475"/>
    <s v="RDT2021111783"/>
    <x v="0"/>
    <x v="0"/>
    <x v="4"/>
    <s v="Canada"/>
    <s v="Sri Lanka"/>
    <x v="5"/>
    <s v="Ms Chloe Ling Yee Leung"/>
    <s v="chloeleung91@gmail.com"/>
    <d v="2021-11-10T00:00:00"/>
    <d v="2022-02-07T00:00:00"/>
    <d v="2022-02-19T00:00:00"/>
    <n v="12"/>
    <s v="USD"/>
    <n v="1361.98"/>
    <m/>
    <x v="3"/>
    <x v="1"/>
    <n v="1361.98"/>
  </r>
  <r>
    <n v="476"/>
    <s v="RDT2021111779"/>
    <x v="0"/>
    <x v="0"/>
    <x v="4"/>
    <s v="United Kingdom"/>
    <s v="Sri Lanka"/>
    <x v="1"/>
    <s v="Mr James  Pateman"/>
    <s v="james.pateman@googlemail.com"/>
    <d v="2021-11-08T00:00:00"/>
    <d v="2022-07-01T00:00:00"/>
    <d v="2023-07-23T00:00:00"/>
    <n v="387"/>
    <s v="USD"/>
    <n v="27534.11"/>
    <m/>
    <x v="3"/>
    <x v="8"/>
    <n v="27534.11"/>
  </r>
  <r>
    <n v="477"/>
    <s v="RDT2021111771"/>
    <x v="0"/>
    <x v="0"/>
    <x v="3"/>
    <s v="United Kingdom"/>
    <s v="Sri Lanka"/>
    <x v="1"/>
    <s v="Mr Jonathan Denny"/>
    <s v="jonathandenny10@gmail.com"/>
    <d v="2021-11-05T00:00:00"/>
    <d v="2022-02-07T00:00:00"/>
    <d v="2022-02-20T00:00:00"/>
    <n v="13"/>
    <s v="USD"/>
    <n v="2601"/>
    <m/>
    <x v="3"/>
    <x v="1"/>
    <n v="2601"/>
  </r>
  <r>
    <n v="478"/>
    <s v="RDT2021111769"/>
    <x v="0"/>
    <x v="0"/>
    <x v="3"/>
    <s v="India"/>
    <s v="Sri Lanka"/>
    <x v="12"/>
    <s v="Mr Dhruv  Joshi"/>
    <s v="dhruv.joshi285@gmail.com"/>
    <d v="2021-11-04T00:00:00"/>
    <d v="2021-11-08T00:00:00"/>
    <d v="2021-11-08T00:00:00"/>
    <n v="0"/>
    <s v="USD"/>
    <n v="785"/>
    <m/>
    <x v="4"/>
    <x v="4"/>
    <n v="785"/>
  </r>
  <r>
    <n v="479"/>
    <s v="RDT2021111765"/>
    <x v="0"/>
    <x v="6"/>
    <x v="4"/>
    <s v="United Kingdom"/>
    <s v="Sri Lanka"/>
    <x v="1"/>
    <s v="Mr Tom Hoddell"/>
    <s v="tom@micasatucasaibiza.com"/>
    <d v="2021-11-03T00:00:00"/>
    <d v="2021-12-21T00:00:00"/>
    <d v="2022-01-07T00:00:00"/>
    <n v="17"/>
    <s v="USD"/>
    <n v="5805"/>
    <m/>
    <x v="4"/>
    <x v="3"/>
    <n v="5805"/>
  </r>
  <r>
    <n v="480"/>
    <s v="RDT2021101749"/>
    <x v="0"/>
    <x v="0"/>
    <x v="3"/>
    <s v="Philippines"/>
    <s v="Sri Lanka"/>
    <x v="1"/>
    <s v="Mr John Macrow"/>
    <s v="jmacrow@hotmail.com"/>
    <d v="2021-10-26T00:00:00"/>
    <d v="2021-12-19T00:00:00"/>
    <d v="2021-12-27T00:00:00"/>
    <n v="8"/>
    <s v="USD"/>
    <n v="1249.27"/>
    <m/>
    <x v="4"/>
    <x v="3"/>
    <n v="1249.27"/>
  </r>
  <r>
    <n v="481"/>
    <s v="RDT2021101748"/>
    <x v="0"/>
    <x v="0"/>
    <x v="13"/>
    <s v="United Kingdom"/>
    <s v="Sri Lanka"/>
    <x v="1"/>
    <s v="Mrs Abbie Roden"/>
    <s v="abbiesroden@gmail.com"/>
    <d v="2021-10-25T00:00:00"/>
    <d v="2021-10-26T00:00:00"/>
    <d v="2021-11-03T00:00:00"/>
    <n v="8"/>
    <s v="USD"/>
    <n v="3400.5"/>
    <s v="honeymoon"/>
    <x v="4"/>
    <x v="5"/>
    <n v="3400.5"/>
  </r>
  <r>
    <n v="482"/>
    <s v="SLIS2021101746"/>
    <x v="1"/>
    <x v="0"/>
    <x v="3"/>
    <s v="United Kingdom"/>
    <s v="Sri Lanka"/>
    <x v="1"/>
    <s v="Mr Simon Pollock"/>
    <s v="simonpollock@mac.com"/>
    <d v="2021-10-23T00:00:00"/>
    <d v="2021-12-23T00:00:00"/>
    <d v="2022-01-01T00:00:00"/>
    <n v="9"/>
    <s v="USD"/>
    <n v="3700.35"/>
    <m/>
    <x v="4"/>
    <x v="3"/>
    <n v="3700.35"/>
  </r>
  <r>
    <n v="483"/>
    <s v="SLIS2021101739"/>
    <x v="1"/>
    <x v="0"/>
    <x v="3"/>
    <s v="United Kingdom"/>
    <s v="Sri Lanka"/>
    <x v="1"/>
    <s v="Mr Patrick  McGrath"/>
    <m/>
    <d v="2021-10-21T00:00:00"/>
    <d v="2021-11-10T00:00:00"/>
    <d v="2021-11-21T00:00:00"/>
    <n v="11"/>
    <s v="USD"/>
    <n v="3956.11"/>
    <m/>
    <x v="4"/>
    <x v="4"/>
    <n v="3956.11"/>
  </r>
  <r>
    <n v="484"/>
    <s v="RDT2021101733"/>
    <x v="0"/>
    <x v="0"/>
    <x v="4"/>
    <s v="United Kingdom"/>
    <s v="Sri Lanka"/>
    <x v="1"/>
    <s v="Ms Carole  McCallum"/>
    <s v="carolemccallum1@gmail.com"/>
    <d v="2021-10-19T00:00:00"/>
    <d v="2021-11-22T00:00:00"/>
    <d v="2021-12-14T00:00:00"/>
    <n v="22"/>
    <s v="USD"/>
    <n v="24712.080000000002"/>
    <m/>
    <x v="4"/>
    <x v="4"/>
    <n v="24712.080000000002"/>
  </r>
  <r>
    <n v="485"/>
    <s v="RDT2021101725"/>
    <x v="0"/>
    <x v="0"/>
    <x v="4"/>
    <s v="United Kingdom"/>
    <s v="Sri Lanka"/>
    <x v="1"/>
    <s v="Ms Sophie Brooker"/>
    <s v="sophiebrooker@hotmail.com"/>
    <d v="2021-10-15T00:00:00"/>
    <d v="2021-12-03T00:00:00"/>
    <d v="2021-12-15T00:00:00"/>
    <n v="12"/>
    <s v="USD"/>
    <n v="6726.37"/>
    <m/>
    <x v="4"/>
    <x v="3"/>
    <n v="6726.37"/>
  </r>
  <r>
    <n v="486"/>
    <s v="SLIS2021101717"/>
    <x v="1"/>
    <x v="3"/>
    <x v="3"/>
    <s v="Sri Lanka"/>
    <s v="Sri Lanka"/>
    <x v="9"/>
    <s v="Mrs Veeranthi  Gunawardhana"/>
    <s v="veeranthi@yahoo.com"/>
    <d v="2021-10-12T00:00:00"/>
    <d v="2021-10-16T00:00:00"/>
    <d v="2021-10-17T00:00:00"/>
    <n v="1"/>
    <s v="LKR"/>
    <n v="165000"/>
    <m/>
    <x v="4"/>
    <x v="5"/>
    <n v="165000"/>
  </r>
  <r>
    <n v="487"/>
    <s v="RDT2021101713"/>
    <x v="0"/>
    <x v="0"/>
    <x v="3"/>
    <s v="United Kingdom"/>
    <s v="Sri Lanka"/>
    <x v="1"/>
    <s v="Mrs Johanna Cowell"/>
    <s v="jorocowell@aol.com"/>
    <d v="2021-10-09T00:00:00"/>
    <d v="2022-03-14T00:00:00"/>
    <d v="2022-03-31T00:00:00"/>
    <n v="17"/>
    <s v="USD"/>
    <n v="6711.84"/>
    <m/>
    <x v="3"/>
    <x v="0"/>
    <n v="6711.84"/>
  </r>
  <r>
    <n v="488"/>
    <s v="RDT2021101712"/>
    <x v="0"/>
    <x v="0"/>
    <x v="3"/>
    <s v="United Kingdom"/>
    <s v="Sri Lanka"/>
    <x v="1"/>
    <s v="Mrs Linda Gronland"/>
    <s v="lingron@hotmail.co.uk"/>
    <d v="2021-10-08T00:00:00"/>
    <d v="2022-03-07T00:00:00"/>
    <d v="2022-03-24T00:00:00"/>
    <n v="17"/>
    <s v="USD"/>
    <n v="16116.82"/>
    <m/>
    <x v="3"/>
    <x v="0"/>
    <n v="16116.82"/>
  </r>
  <r>
    <n v="489"/>
    <s v="RDT2021101704"/>
    <x v="0"/>
    <x v="6"/>
    <x v="4"/>
    <s v="United Kingdom"/>
    <s v="Sri Lanka"/>
    <x v="1"/>
    <s v="Mr William  Venables"/>
    <s v="+447976405424"/>
    <d v="2021-10-06T00:00:00"/>
    <d v="2022-02-06T00:00:00"/>
    <d v="2022-02-24T00:00:00"/>
    <n v="18"/>
    <s v="USD"/>
    <n v="1287.52"/>
    <m/>
    <x v="3"/>
    <x v="1"/>
    <n v="1287.52"/>
  </r>
  <r>
    <n v="490"/>
    <s v="RDT2021101701"/>
    <x v="0"/>
    <x v="9"/>
    <x v="4"/>
    <s v="United Kingdom"/>
    <s v="Sri Lanka"/>
    <x v="18"/>
    <s v="Mr Francesc  Carulla"/>
    <s v="xiscocarulla@gmail.com,xiscocarulla@gmail.com"/>
    <d v="2021-10-02T00:00:00"/>
    <d v="2021-12-02T00:00:00"/>
    <d v="2021-12-11T00:00:00"/>
    <n v="9"/>
    <s v="USD"/>
    <n v="11916.42"/>
    <m/>
    <x v="4"/>
    <x v="3"/>
    <n v="11916.42"/>
  </r>
  <r>
    <n v="491"/>
    <s v="RDT2021101696"/>
    <x v="0"/>
    <x v="0"/>
    <x v="3"/>
    <s v="Sri Lanka"/>
    <s v="Sri Lanka"/>
    <x v="9"/>
    <s v="Mrs Keshia  Ibrahim"/>
    <s v="iamkeshia@gmail.com"/>
    <d v="2021-10-01T00:00:00"/>
    <d v="2021-12-06T00:00:00"/>
    <d v="2021-12-12T00:00:00"/>
    <n v="6"/>
    <s v="LKR"/>
    <n v="3840"/>
    <m/>
    <x v="4"/>
    <x v="3"/>
    <n v="3840"/>
  </r>
  <r>
    <n v="492"/>
    <s v="RDT2021091692"/>
    <x v="0"/>
    <x v="9"/>
    <x v="4"/>
    <s v="Canada"/>
    <s v="Sri Lanka"/>
    <x v="1"/>
    <s v="Mr Nicholas  John Subert"/>
    <s v="nickrozsubert@aol.com"/>
    <d v="2021-09-28T00:00:00"/>
    <d v="2022-02-06T00:00:00"/>
    <d v="2022-02-28T00:00:00"/>
    <n v="22"/>
    <s v="USD"/>
    <n v="14267.78"/>
    <m/>
    <x v="3"/>
    <x v="1"/>
    <n v="14267.78"/>
  </r>
  <r>
    <n v="493"/>
    <s v="SLIS2021091678"/>
    <x v="1"/>
    <x v="0"/>
    <x v="3"/>
    <s v="United States of America"/>
    <s v="Sri Lanka"/>
    <x v="0"/>
    <s v="Mrs Renee Tucei"/>
    <s v="renee.tucei@gmail.com"/>
    <d v="2021-09-06T00:00:00"/>
    <d v="2022-01-24T00:00:00"/>
    <d v="2022-01-30T00:00:00"/>
    <n v="6"/>
    <s v="USD"/>
    <n v="7799.31"/>
    <m/>
    <x v="3"/>
    <x v="2"/>
    <n v="7799.31"/>
  </r>
  <r>
    <n v="494"/>
    <s v="SLIS2021091671"/>
    <x v="1"/>
    <x v="8"/>
    <x v="14"/>
    <s v="Spain"/>
    <s v="Sri Lanka"/>
    <x v="18"/>
    <s v="Mr Miguel Cunat"/>
    <m/>
    <d v="2021-09-02T00:00:00"/>
    <d v="2021-09-07T00:00:00"/>
    <d v="2022-04-13T00:00:00"/>
    <n v="218"/>
    <s v="USD"/>
    <n v="450"/>
    <m/>
    <x v="4"/>
    <x v="6"/>
    <n v="450"/>
  </r>
  <r>
    <n v="495"/>
    <s v="RDT2021071658"/>
    <x v="0"/>
    <x v="2"/>
    <x v="4"/>
    <s v="United Kingdom"/>
    <s v="Sri Lanka"/>
    <x v="1"/>
    <s v="Ms Janet Weymouth"/>
    <s v="jweymouth1@hotmail.com"/>
    <d v="2021-07-28T00:00:00"/>
    <d v="2021-10-01T00:00:00"/>
    <d v="2021-10-24T00:00:00"/>
    <n v="23"/>
    <s v="USD"/>
    <n v="18146.5"/>
    <m/>
    <x v="4"/>
    <x v="5"/>
    <n v="18146.5"/>
  </r>
  <r>
    <n v="496"/>
    <s v="SLIS2021071657"/>
    <x v="1"/>
    <x v="0"/>
    <x v="4"/>
    <s v="Mexico"/>
    <s v="Sri Lanka"/>
    <x v="16"/>
    <s v="Mr Peter McCarthy"/>
    <s v="peter.mccarthy@pecex.com.mx"/>
    <d v="2021-07-16T00:00:00"/>
    <d v="2021-08-03T00:00:00"/>
    <d v="2021-08-27T00:00:00"/>
    <n v="24"/>
    <s v="USD"/>
    <n v="14189.84"/>
    <m/>
    <x v="4"/>
    <x v="7"/>
    <n v="14189.84"/>
  </r>
  <r>
    <n v="497"/>
    <s v="SLIS2021071650"/>
    <x v="1"/>
    <x v="0"/>
    <x v="10"/>
    <s v="Spain"/>
    <s v="Sri Lanka"/>
    <x v="18"/>
    <s v="Mr Roberto Ulecia Naveira"/>
    <s v="robertoburelarte@gmail.com"/>
    <d v="2021-07-05T00:00:00"/>
    <d v="2021-08-01T00:00:00"/>
    <d v="2021-08-14T00:00:00"/>
    <n v="13"/>
    <s v="USD"/>
    <n v="4862.91"/>
    <m/>
    <x v="4"/>
    <x v="7"/>
    <n v="4862.91"/>
  </r>
  <r>
    <n v="498"/>
    <s v="RDT2021051637"/>
    <x v="0"/>
    <x v="3"/>
    <x v="4"/>
    <s v="Ivory Coast"/>
    <s v="Sri Lanka"/>
    <x v="36"/>
    <s v="Mr Bart  Carolus M Vander Plaetse"/>
    <s v="bart.vanderplaetse@fairmed.ch"/>
    <d v="2021-05-13T00:00:00"/>
    <d v="2021-05-21T00:00:00"/>
    <d v="2021-06-17T00:00:00"/>
    <n v="27"/>
    <s v="USD"/>
    <n v="2695.8"/>
    <m/>
    <x v="4"/>
    <x v="10"/>
    <n v="2695.8"/>
  </r>
  <r>
    <n v="499"/>
    <s v="RDT2021051627"/>
    <x v="0"/>
    <x v="3"/>
    <x v="15"/>
    <s v="Sri Lanka"/>
    <s v="Sri Lanka"/>
    <x v="9"/>
    <s v="Mr SANGAKKARA CHOKSHANADA KUMARA"/>
    <m/>
    <d v="2021-05-05T00:00:00"/>
    <d v="2021-05-05T00:00:00"/>
    <d v="2021-05-05T00:00:00"/>
    <n v="0"/>
    <s v="LKR"/>
    <n v="26500"/>
    <m/>
    <x v="4"/>
    <x v="10"/>
    <n v="26500"/>
  </r>
  <r>
    <n v="500"/>
    <s v="RDT2021041621"/>
    <x v="0"/>
    <x v="2"/>
    <x v="4"/>
    <s v="Hong Kong"/>
    <s v="Sri Lanka"/>
    <x v="1"/>
    <s v="Mr Chris  Thornton"/>
    <s v="Chris@bedevo.com"/>
    <d v="2021-04-24T00:00:00"/>
    <d v="2021-04-30T00:00:00"/>
    <d v="2021-05-01T00:00:00"/>
    <n v="1"/>
    <s v="USD"/>
    <n v="341.69"/>
    <m/>
    <x v="4"/>
    <x v="11"/>
    <n v="341.69"/>
  </r>
  <r>
    <n v="501"/>
    <s v="RDT2021041604"/>
    <x v="0"/>
    <x v="0"/>
    <x v="4"/>
    <s v="United Kingdom"/>
    <s v="Sri Lanka"/>
    <x v="1"/>
    <s v="Mr Ian  Ditchfield"/>
    <s v="ianditchfield@outlook.com"/>
    <d v="2021-04-10T00:00:00"/>
    <d v="2022-03-02T00:00:00"/>
    <d v="2022-03-22T00:00:00"/>
    <n v="20"/>
    <s v="GBP"/>
    <n v="9727.75"/>
    <m/>
    <x v="3"/>
    <x v="0"/>
    <n v="9727.75"/>
  </r>
  <r>
    <n v="502"/>
    <s v="RDT2021041594"/>
    <x v="0"/>
    <x v="0"/>
    <x v="3"/>
    <s v="Singapore"/>
    <s v="Sri Lanka"/>
    <x v="12"/>
    <s v="Mr Nikunj Agarwal"/>
    <s v="Nikunj.Agarwal@marsh.com"/>
    <d v="2021-04-02T00:00:00"/>
    <d v="2021-04-13T00:00:00"/>
    <d v="2021-05-19T00:00:00"/>
    <n v="36"/>
    <s v="USD"/>
    <n v="1083.5999999999999"/>
    <m/>
    <x v="4"/>
    <x v="11"/>
    <n v="1083.5999999999999"/>
  </r>
  <r>
    <n v="503"/>
    <s v="RDT2021031578"/>
    <x v="0"/>
    <x v="0"/>
    <x v="3"/>
    <s v="United Arab Emirates"/>
    <s v="Sri Lanka"/>
    <x v="14"/>
    <s v="Ms Tala Elajou"/>
    <s v="talaelajou1@gmail.com"/>
    <d v="2021-03-09T00:00:00"/>
    <d v="2021-03-18T00:00:00"/>
    <d v="2021-04-06T00:00:00"/>
    <n v="19"/>
    <s v="USD"/>
    <n v="6863.15"/>
    <m/>
    <x v="4"/>
    <x v="0"/>
    <n v="6863.15"/>
  </r>
  <r>
    <n v="504"/>
    <s v="RDT2021031577"/>
    <x v="0"/>
    <x v="0"/>
    <x v="3"/>
    <s v="United Kingdom"/>
    <s v="Sri Lanka"/>
    <x v="1"/>
    <s v="Mr Rodger Dickson"/>
    <s v="rogdog63@gmail.com"/>
    <d v="2021-03-09T00:00:00"/>
    <d v="2021-03-29T00:00:00"/>
    <d v="2021-04-12T00:00:00"/>
    <n v="14"/>
    <s v="USD"/>
    <n v="15670.82"/>
    <m/>
    <x v="4"/>
    <x v="0"/>
    <n v="15670.82"/>
  </r>
  <r>
    <n v="505"/>
    <s v="RDT2021031571"/>
    <x v="0"/>
    <x v="6"/>
    <x v="4"/>
    <s v="United Kingdom"/>
    <s v="Sri Lanka"/>
    <x v="1"/>
    <s v="Mr Anthony  Alexander  Doeh"/>
    <s v="anthony.doeh@softbank.com"/>
    <d v="2021-03-05T00:00:00"/>
    <d v="2021-03-14T00:00:00"/>
    <d v="2021-04-15T00:00:00"/>
    <n v="32"/>
    <s v="GBP"/>
    <n v="25069"/>
    <m/>
    <x v="4"/>
    <x v="0"/>
    <n v="25069"/>
  </r>
  <r>
    <n v="506"/>
    <s v="RDT2021021561"/>
    <x v="0"/>
    <x v="0"/>
    <x v="16"/>
    <s v="Ireland"/>
    <s v="Sri Lanka"/>
    <x v="13"/>
    <s v="Mr Ciaran Crowley"/>
    <s v="ccrowley@inc-solutions.com"/>
    <d v="2021-02-19T00:00:00"/>
    <d v="2021-03-09T00:00:00"/>
    <d v="2021-03-25T00:00:00"/>
    <n v="16"/>
    <s v="USD"/>
    <n v="18510.54"/>
    <m/>
    <x v="4"/>
    <x v="0"/>
    <n v="18510.54"/>
  </r>
  <r>
    <n v="507"/>
    <s v="SLIS2021021555"/>
    <x v="1"/>
    <x v="8"/>
    <x v="13"/>
    <s v="United Kingdom"/>
    <s v="Sri Lanka"/>
    <x v="1"/>
    <s v="Mr Richard Hallam"/>
    <s v="rich.hallam@icloud.com"/>
    <d v="2021-02-04T00:00:00"/>
    <d v="2021-02-09T00:00:00"/>
    <d v="2021-05-06T00:00:00"/>
    <n v="86"/>
    <s v="USD"/>
    <n v="4676.72"/>
    <m/>
    <x v="4"/>
    <x v="1"/>
    <n v="4676.72"/>
  </r>
  <r>
    <n v="508"/>
    <s v="RDT2021011545"/>
    <x v="0"/>
    <x v="0"/>
    <x v="3"/>
    <s v="Sri Lanka"/>
    <s v="Sri Lanka"/>
    <x v="7"/>
    <s v="Ms Claudia Tietze"/>
    <s v="ku-1@colo.diplo.de"/>
    <d v="2021-01-19T00:00:00"/>
    <d v="2021-02-05T00:00:00"/>
    <d v="2021-02-12T00:00:00"/>
    <n v="7"/>
    <s v="LKR"/>
    <n v="262400.33"/>
    <m/>
    <x v="4"/>
    <x v="1"/>
    <n v="262400.33"/>
  </r>
  <r>
    <n v="509"/>
    <s v="RDT2020111527"/>
    <x v="0"/>
    <x v="0"/>
    <x v="17"/>
    <s v="United States of America"/>
    <s v="Sri Lanka"/>
    <x v="1"/>
    <s v="Ms Tiffany Forster"/>
    <s v="tlbforster@gmail.com"/>
    <d v="2020-11-24T00:00:00"/>
    <d v="2022-03-26T00:00:00"/>
    <d v="2022-04-06T00:00:00"/>
    <n v="11"/>
    <s v="USD"/>
    <n v="7498.14"/>
    <m/>
    <x v="3"/>
    <x v="0"/>
    <n v="7498.14"/>
  </r>
  <r>
    <n v="510"/>
    <s v="RDT2020101516"/>
    <x v="0"/>
    <x v="0"/>
    <x v="3"/>
    <s v="United Kingdom"/>
    <s v="Sri Lanka"/>
    <x v="1"/>
    <s v="Mr Neil  Beardsley"/>
    <s v="neilbeardsley@icloud.com"/>
    <d v="2020-10-16T00:00:00"/>
    <d v="2022-02-28T00:00:00"/>
    <d v="2022-03-17T00:00:00"/>
    <n v="17"/>
    <s v="USD"/>
    <n v="5938.4"/>
    <m/>
    <x v="3"/>
    <x v="1"/>
    <n v="5938.4"/>
  </r>
  <r>
    <n v="511"/>
    <s v="SLIS2020081491"/>
    <x v="1"/>
    <x v="0"/>
    <x v="3"/>
    <s v="United Kingdom"/>
    <s v="Sri Lanka"/>
    <x v="1"/>
    <s v="Mr John  Clougherty"/>
    <s v="john.clougherty@fil.com"/>
    <d v="2020-08-05T00:00:00"/>
    <d v="2022-02-12T00:00:00"/>
    <d v="2022-02-19T00:00:00"/>
    <n v="7"/>
    <s v="USD"/>
    <n v="18334.91"/>
    <m/>
    <x v="3"/>
    <x v="1"/>
    <n v="18334.91"/>
  </r>
  <r>
    <n v="512"/>
    <s v="RDT2020071486"/>
    <x v="0"/>
    <x v="3"/>
    <x v="15"/>
    <s v="Sri Lanka"/>
    <s v="Sri Lanka"/>
    <x v="9"/>
    <s v="Ms Saumya Miguel&amp;#039;s friend"/>
    <m/>
    <d v="2020-07-19T00:00:00"/>
    <d v="2020-07-19T00:00:00"/>
    <d v="2020-07-19T00:00:00"/>
    <n v="0"/>
    <s v="LKR"/>
    <n v="32000"/>
    <m/>
    <x v="5"/>
    <x v="8"/>
    <n v="32000"/>
  </r>
  <r>
    <n v="513"/>
    <s v="RDT2020071483"/>
    <x v="0"/>
    <x v="3"/>
    <x v="15"/>
    <s v="Sri Lanka"/>
    <s v="Sri Lanka"/>
    <x v="9"/>
    <s v="Mr Miguel Cunat"/>
    <m/>
    <d v="2020-07-18T00:00:00"/>
    <d v="2020-07-12T00:00:00"/>
    <d v="2020-07-12T00:00:00"/>
    <n v="0"/>
    <s v="LKR"/>
    <n v="18000"/>
    <m/>
    <x v="5"/>
    <x v="8"/>
    <n v="18000"/>
  </r>
  <r>
    <n v="514"/>
    <s v="RDT2020071479"/>
    <x v="0"/>
    <x v="3"/>
    <x v="18"/>
    <s v="United Kingdom"/>
    <s v="Sri Lanka"/>
    <x v="1"/>
    <s v="Mr Tony Hulton"/>
    <m/>
    <d v="2020-07-06T00:00:00"/>
    <d v="2020-07-16T00:00:00"/>
    <d v="2020-07-24T00:00:00"/>
    <n v="8"/>
    <s v="USD"/>
    <n v="2264"/>
    <m/>
    <x v="5"/>
    <x v="8"/>
    <n v="2264"/>
  </r>
  <r>
    <n v="515"/>
    <s v="RDT2020061456"/>
    <x v="0"/>
    <x v="9"/>
    <x v="15"/>
    <s v="United Kingdom"/>
    <s v="Sri Lanka"/>
    <x v="9"/>
    <s v="Mr Mohara Dole"/>
    <s v="moharadole@yahoo.com"/>
    <d v="2020-06-09T00:00:00"/>
    <d v="2019-06-28T00:00:00"/>
    <d v="2019-07-02T00:00:00"/>
    <n v="4"/>
    <s v="LKR"/>
    <n v="7000"/>
    <m/>
    <x v="6"/>
    <x v="9"/>
    <n v="7000"/>
  </r>
  <r>
    <n v="516"/>
    <s v="RDT2020061455"/>
    <x v="0"/>
    <x v="9"/>
    <x v="15"/>
    <s v="United Kingdom"/>
    <s v="Sri Lanka"/>
    <x v="9"/>
    <s v="Ms Suthami Austin"/>
    <m/>
    <d v="2020-06-09T00:00:00"/>
    <d v="2019-10-17T00:00:00"/>
    <d v="2019-10-17T00:00:00"/>
    <n v="0"/>
    <s v="USD"/>
    <n v="20"/>
    <m/>
    <x v="6"/>
    <x v="5"/>
    <n v="20"/>
  </r>
  <r>
    <n v="517"/>
    <s v="RDT2020061454"/>
    <x v="0"/>
    <x v="9"/>
    <x v="15"/>
    <s v="United Kingdom"/>
    <s v="Sri Lanka"/>
    <x v="9"/>
    <s v="Mr Ashan De Soyza"/>
    <m/>
    <d v="2020-06-09T00:00:00"/>
    <d v="2019-12-28T00:00:00"/>
    <d v="2019-12-28T00:00:00"/>
    <n v="0"/>
    <s v="LKR"/>
    <n v="10000"/>
    <m/>
    <x v="6"/>
    <x v="3"/>
    <n v="10000"/>
  </r>
  <r>
    <n v="518"/>
    <s v="RDT2020061453"/>
    <x v="0"/>
    <x v="9"/>
    <x v="15"/>
    <s v="Sri Lanka"/>
    <s v="Sri Lanka"/>
    <x v="9"/>
    <s v="Mr Charlie Austin"/>
    <s v="charlie@austin-management.com"/>
    <d v="2020-06-09T00:00:00"/>
    <d v="2019-12-10T00:00:00"/>
    <d v="2019-12-15T00:00:00"/>
    <n v="5"/>
    <s v="LKR"/>
    <n v="9500"/>
    <m/>
    <x v="6"/>
    <x v="3"/>
    <n v="9500"/>
  </r>
  <r>
    <n v="519"/>
    <s v="RDT2020031403"/>
    <x v="0"/>
    <x v="9"/>
    <x v="15"/>
    <s v="United Kingdom"/>
    <s v="Sri Lanka"/>
    <x v="1"/>
    <s v="Mr Joseph Toronka"/>
    <s v="jimwood156@yahoo.com"/>
    <d v="2020-03-20T00:00:00"/>
    <d v="2020-03-22T00:00:00"/>
    <d v="2020-03-22T00:00:00"/>
    <n v="0"/>
    <s v="USD"/>
    <n v="150"/>
    <m/>
    <x v="5"/>
    <x v="0"/>
    <n v="150"/>
  </r>
  <r>
    <n v="520"/>
    <s v="RDT2020031402"/>
    <x v="0"/>
    <x v="9"/>
    <x v="15"/>
    <s v="United Kingdom"/>
    <s v="Sri Lanka"/>
    <x v="1"/>
    <s v="Mr Jim Wood"/>
    <s v="jimwood156@yahoo.com"/>
    <d v="2020-03-20T00:00:00"/>
    <d v="2020-03-21T00:00:00"/>
    <d v="2020-03-21T00:00:00"/>
    <n v="0"/>
    <s v="USD"/>
    <n v="150"/>
    <m/>
    <x v="5"/>
    <x v="0"/>
    <n v="150"/>
  </r>
  <r>
    <n v="521"/>
    <s v="RDT2020031396"/>
    <x v="0"/>
    <x v="9"/>
    <x v="15"/>
    <s v="United Kingdom"/>
    <s v="Sri Lanka"/>
    <x v="1"/>
    <s v="Ms Diana Okoeva"/>
    <s v="DOkoeva@clintons.co.uk"/>
    <d v="2020-03-13T00:00:00"/>
    <d v="2020-03-14T00:00:00"/>
    <d v="2020-03-22T00:00:00"/>
    <n v="8"/>
    <s v="USD"/>
    <n v="370"/>
    <m/>
    <x v="5"/>
    <x v="0"/>
    <n v="370"/>
  </r>
  <r>
    <n v="522"/>
    <s v="RDT2020031391"/>
    <x v="0"/>
    <x v="9"/>
    <x v="18"/>
    <s v="United Kingdom"/>
    <s v="Sri Lanka"/>
    <x v="1"/>
    <s v="Mr Anna Tompkins"/>
    <s v="annawales1981@hotmail.com"/>
    <d v="2020-03-10T00:00:00"/>
    <d v="2020-03-16T00:00:00"/>
    <d v="2020-03-26T00:00:00"/>
    <n v="10"/>
    <s v="USD"/>
    <n v="2240.1"/>
    <m/>
    <x v="5"/>
    <x v="0"/>
    <n v="2240.1"/>
  </r>
  <r>
    <n v="523"/>
    <s v="RDT2020031385"/>
    <x v="0"/>
    <x v="9"/>
    <x v="4"/>
    <s v="Sri Lanka"/>
    <s v="Sri Lanka"/>
    <x v="9"/>
    <s v="Mr ATMAN GROUP"/>
    <s v="michael@kiminholdings.com"/>
    <d v="2020-03-06T00:00:00"/>
    <d v="2020-03-23T00:00:00"/>
    <d v="2020-03-23T00:00:00"/>
    <n v="0"/>
    <s v="USD"/>
    <n v="88"/>
    <m/>
    <x v="5"/>
    <x v="0"/>
    <n v="88"/>
  </r>
  <r>
    <n v="524"/>
    <s v="RDT2020031376"/>
    <x v="0"/>
    <x v="9"/>
    <x v="19"/>
    <s v="United Kingdom"/>
    <s v="Sri Lanka"/>
    <x v="1"/>
    <s v="Mr Nick Hoult"/>
    <m/>
    <d v="2020-03-03T00:00:00"/>
    <d v="2020-03-11T00:00:00"/>
    <d v="2020-04-01T00:00:00"/>
    <n v="21"/>
    <s v="USD"/>
    <n v="399.78"/>
    <m/>
    <x v="5"/>
    <x v="0"/>
    <n v="399.78"/>
  </r>
  <r>
    <n v="525"/>
    <s v="RDT2020031374"/>
    <x v="0"/>
    <x v="9"/>
    <x v="15"/>
    <s v="United Kingdom"/>
    <s v="Sri Lanka"/>
    <x v="9"/>
    <s v="Ms Hafsa Jamel"/>
    <s v="ShyamaJ@lolcfinance.com"/>
    <d v="2020-03-03T00:00:00"/>
    <d v="2020-03-06T00:00:00"/>
    <d v="2020-03-06T00:00:00"/>
    <n v="0"/>
    <s v="USD"/>
    <n v="0"/>
    <m/>
    <x v="5"/>
    <x v="0"/>
    <n v="0"/>
  </r>
  <r>
    <n v="526"/>
    <s v="RDT2020021357"/>
    <x v="0"/>
    <x v="9"/>
    <x v="15"/>
    <s v="India"/>
    <s v="Sri Lanka"/>
    <x v="12"/>
    <s v="Ms Kavita Gandhi x 02"/>
    <s v="gandhi.kavita@gmail.com"/>
    <d v="2020-02-26T00:00:00"/>
    <d v="2020-02-27T00:00:00"/>
    <d v="2020-03-02T00:00:00"/>
    <n v="4"/>
    <s v="USD"/>
    <n v="225"/>
    <m/>
    <x v="5"/>
    <x v="1"/>
    <n v="225"/>
  </r>
  <r>
    <n v="527"/>
    <s v="RDT2020021343"/>
    <x v="0"/>
    <x v="9"/>
    <x v="4"/>
    <s v="Switzerland"/>
    <s v="Sri Lanka"/>
    <x v="21"/>
    <s v="Ms Aurelia  Jaquier"/>
    <s v="aurelia.jaquier@gmail.com"/>
    <d v="2020-02-24T00:00:00"/>
    <d v="2020-03-13T00:00:00"/>
    <d v="2020-03-19T00:00:00"/>
    <n v="6"/>
    <s v="USD"/>
    <n v="5"/>
    <m/>
    <x v="5"/>
    <x v="0"/>
    <n v="5"/>
  </r>
  <r>
    <n v="528"/>
    <s v="RDT2020021328"/>
    <x v="0"/>
    <x v="9"/>
    <x v="4"/>
    <s v="United Kingdom"/>
    <s v="Sri Lanka"/>
    <x v="1"/>
    <s v="Mr Christopher McGowan"/>
    <s v="cmg312@hotmail.co.uk"/>
    <d v="2020-02-19T00:00:00"/>
    <d v="2020-02-29T00:00:00"/>
    <d v="2020-03-07T00:00:00"/>
    <n v="7"/>
    <s v="GBP"/>
    <n v="1475.31"/>
    <m/>
    <x v="5"/>
    <x v="1"/>
    <n v="1475.31"/>
  </r>
  <r>
    <n v="529"/>
    <s v="RDT2020021307"/>
    <x v="0"/>
    <x v="9"/>
    <x v="4"/>
    <s v="Germany"/>
    <s v="Sri Lanka"/>
    <x v="7"/>
    <s v="Mr Dieter Schreck"/>
    <s v="dschreck@gmx.de"/>
    <d v="2020-02-13T00:00:00"/>
    <d v="2020-02-19T00:00:00"/>
    <d v="2020-03-06T00:00:00"/>
    <n v="16"/>
    <s v="USD"/>
    <n v="4899.01"/>
    <m/>
    <x v="5"/>
    <x v="1"/>
    <n v="4899.01"/>
  </r>
  <r>
    <n v="530"/>
    <s v="RDT2020021257"/>
    <x v="0"/>
    <x v="9"/>
    <x v="15"/>
    <s v="United Kingdom"/>
    <s v="Sri Lanka"/>
    <x v="1"/>
    <s v="Ms Leah Peckham"/>
    <s v="leahpeckham123@gmail.com"/>
    <d v="2020-02-03T00:00:00"/>
    <d v="2020-02-05T00:00:00"/>
    <d v="2020-02-12T00:00:00"/>
    <n v="7"/>
    <s v="USD"/>
    <n v="360"/>
    <m/>
    <x v="5"/>
    <x v="1"/>
    <n v="360"/>
  </r>
  <r>
    <n v="531"/>
    <s v="SLIS2020011213"/>
    <x v="1"/>
    <x v="9"/>
    <x v="3"/>
    <s v="United Kingdom"/>
    <s v="Sri Lanka"/>
    <x v="1"/>
    <s v="Mr Hussain Jebara"/>
    <s v="h_jebara@yahoo.com"/>
    <d v="2020-01-30T00:00:00"/>
    <d v="2020-02-08T00:00:00"/>
    <d v="2020-02-17T00:00:00"/>
    <n v="9"/>
    <s v="USD"/>
    <n v="3189.1"/>
    <m/>
    <x v="5"/>
    <x v="1"/>
    <n v="3189.1"/>
  </r>
  <r>
    <n v="532"/>
    <s v="RDT2020011210"/>
    <x v="0"/>
    <x v="9"/>
    <x v="20"/>
    <s v="United Kingdom"/>
    <s v="Sri Lanka"/>
    <x v="1"/>
    <s v="Ms Alice Curtis"/>
    <s v="lisacurtis04@hotmail.com"/>
    <d v="2020-01-30T00:00:00"/>
    <d v="2020-03-04T00:00:00"/>
    <d v="2020-03-15T00:00:00"/>
    <n v="11"/>
    <s v="USD"/>
    <n v="4459"/>
    <m/>
    <x v="5"/>
    <x v="0"/>
    <n v="4459"/>
  </r>
  <r>
    <n v="533"/>
    <s v="RDT2020011192"/>
    <x v="0"/>
    <x v="9"/>
    <x v="13"/>
    <s v="United Kingdom"/>
    <s v="Sri Lanka"/>
    <x v="1"/>
    <s v="Mr Peter  Collis"/>
    <s v="petercollis53@btinternet.com"/>
    <d v="2020-01-28T00:00:00"/>
    <d v="2020-05-06T00:00:00"/>
    <d v="2020-05-19T00:00:00"/>
    <n v="13"/>
    <s v="USD"/>
    <n v="550"/>
    <m/>
    <x v="5"/>
    <x v="10"/>
    <n v="550"/>
  </r>
  <r>
    <n v="534"/>
    <s v="RDT2020011187"/>
    <x v="0"/>
    <x v="9"/>
    <x v="21"/>
    <s v="Sri Lanka"/>
    <s v="Sri Lanka"/>
    <x v="1"/>
    <s v="Mr Nick Clayton"/>
    <s v="nickclayto@cs.com"/>
    <d v="2020-01-25T00:00:00"/>
    <d v="2020-01-27T00:00:00"/>
    <d v="2020-01-29T00:00:00"/>
    <n v="2"/>
    <s v="USD"/>
    <n v="214.98"/>
    <m/>
    <x v="5"/>
    <x v="2"/>
    <n v="214.98"/>
  </r>
  <r>
    <n v="535"/>
    <s v="RDT2020011185"/>
    <x v="0"/>
    <x v="9"/>
    <x v="19"/>
    <s v="United Kingdom"/>
    <s v="Sri Lanka"/>
    <x v="1"/>
    <s v="Mr William McElwain"/>
    <m/>
    <d v="2020-01-25T00:00:00"/>
    <d v="2020-02-25T00:00:00"/>
    <d v="2020-03-08T00:00:00"/>
    <n v="12"/>
    <s v="USD"/>
    <n v="5147.08"/>
    <m/>
    <x v="5"/>
    <x v="1"/>
    <n v="5147.08"/>
  </r>
  <r>
    <n v="536"/>
    <s v="RDT2020011179"/>
    <x v="0"/>
    <x v="9"/>
    <x v="15"/>
    <s v="Canada"/>
    <s v="Sri Lanka"/>
    <x v="5"/>
    <s v="Mr Maher Bouzouita"/>
    <s v="m.bouzouita@yahoo.ca"/>
    <d v="2020-01-24T00:00:00"/>
    <d v="2020-02-06T00:00:00"/>
    <d v="2020-02-14T00:00:00"/>
    <n v="8"/>
    <s v="USD"/>
    <n v="423"/>
    <m/>
    <x v="5"/>
    <x v="1"/>
    <n v="423"/>
  </r>
  <r>
    <n v="537"/>
    <s v="RDT2020011168"/>
    <x v="0"/>
    <x v="9"/>
    <x v="21"/>
    <s v="Netherlands"/>
    <s v="Sri Lanka"/>
    <x v="25"/>
    <s v="Mrs Irene Ter Horst"/>
    <s v="oestelle1@hotmail.com"/>
    <d v="2020-01-24T00:00:00"/>
    <d v="2020-01-29T00:00:00"/>
    <d v="2020-02-14T00:00:00"/>
    <n v="16"/>
    <s v="USD"/>
    <n v="474.96"/>
    <m/>
    <x v="5"/>
    <x v="2"/>
    <n v="474.96"/>
  </r>
  <r>
    <n v="538"/>
    <s v="RDT2020011156"/>
    <x v="0"/>
    <x v="9"/>
    <x v="19"/>
    <s v="Sri Lanka"/>
    <s v="Sri Lanka"/>
    <x v="7"/>
    <s v="Mr Peter Ossenbach"/>
    <s v="&lt;a.k.stillfried@gmail.com&gt;"/>
    <d v="2020-01-23T00:00:00"/>
    <d v="2020-01-24T00:00:00"/>
    <d v="2020-01-31T00:00:00"/>
    <n v="7"/>
    <s v="USD"/>
    <n v="869.61"/>
    <m/>
    <x v="5"/>
    <x v="2"/>
    <n v="869.61"/>
  </r>
  <r>
    <n v="539"/>
    <s v="SLIS2020011126"/>
    <x v="1"/>
    <x v="9"/>
    <x v="13"/>
    <s v="United States of America"/>
    <s v="Sri Lanka"/>
    <x v="0"/>
    <s v="Mr Jan Rabaey"/>
    <s v="janrabaey@gmail.com"/>
    <d v="2020-01-22T00:00:00"/>
    <d v="2020-02-21T00:00:00"/>
    <d v="2020-03-01T00:00:00"/>
    <n v="9"/>
    <s v="USD"/>
    <n v="4541.32"/>
    <m/>
    <x v="5"/>
    <x v="1"/>
    <n v="4541.32"/>
  </r>
  <r>
    <n v="540"/>
    <s v="RDT2020011110"/>
    <x v="0"/>
    <x v="9"/>
    <x v="15"/>
    <s v="United Kingdom"/>
    <s v="Sri Lanka"/>
    <x v="1"/>
    <s v="Mr Kamil Latorre"/>
    <s v="kamil_latorre@hotmail.co.uk"/>
    <d v="2020-01-20T00:00:00"/>
    <d v="2020-02-01T00:00:00"/>
    <d v="2020-02-03T00:00:00"/>
    <n v="2"/>
    <s v="USD"/>
    <n v="135"/>
    <m/>
    <x v="5"/>
    <x v="1"/>
    <n v="135"/>
  </r>
  <r>
    <n v="541"/>
    <s v="RDT2020011107"/>
    <x v="0"/>
    <x v="9"/>
    <x v="4"/>
    <s v="United Kingdom"/>
    <s v="Sri Lanka"/>
    <x v="1"/>
    <s v="Mrs Jane Egleton"/>
    <s v="jane.egleton@hotmail.co.uk"/>
    <d v="2020-01-17T00:00:00"/>
    <d v="2020-03-03T00:00:00"/>
    <d v="2020-03-20T00:00:00"/>
    <n v="17"/>
    <s v="GBP"/>
    <n v="3028.39"/>
    <m/>
    <x v="5"/>
    <x v="0"/>
    <n v="3028.39"/>
  </r>
  <r>
    <n v="542"/>
    <s v="SLIS2020011102"/>
    <x v="1"/>
    <x v="9"/>
    <x v="22"/>
    <s v="United States of America"/>
    <s v="Sri Lanka"/>
    <x v="0"/>
    <s v="Ms Sophie Elisa Elisa Arista"/>
    <s v="sarista@aman.com"/>
    <d v="2020-01-16T00:00:00"/>
    <d v="2020-02-13T00:00:00"/>
    <d v="2020-02-17T00:00:00"/>
    <n v="4"/>
    <s v="USD"/>
    <n v="665"/>
    <m/>
    <x v="5"/>
    <x v="1"/>
    <n v="665"/>
  </r>
  <r>
    <n v="543"/>
    <s v="RDT2020011099"/>
    <x v="0"/>
    <x v="9"/>
    <x v="21"/>
    <s v="United States of America"/>
    <s v="Sri Lanka"/>
    <x v="0"/>
    <s v="Ms Lilli Baldwin"/>
    <s v="LBaldwin@fhi360.org"/>
    <d v="2020-01-16T00:00:00"/>
    <d v="2020-01-24T00:00:00"/>
    <d v="2020-01-30T00:00:00"/>
    <n v="6"/>
    <s v="USD"/>
    <n v="551"/>
    <m/>
    <x v="5"/>
    <x v="2"/>
    <n v="551"/>
  </r>
  <r>
    <n v="544"/>
    <s v="RDT2020011093"/>
    <x v="0"/>
    <x v="9"/>
    <x v="4"/>
    <s v="United Kingdom"/>
    <s v="Sri Lanka"/>
    <x v="1"/>
    <s v="Mr Richard Barry  Simpson"/>
    <s v="rbsimo@hotmail.com"/>
    <d v="2020-01-16T00:00:00"/>
    <d v="2020-02-10T00:00:00"/>
    <d v="2020-03-02T00:00:00"/>
    <n v="21"/>
    <s v="GBP"/>
    <n v="6658.17"/>
    <m/>
    <x v="5"/>
    <x v="1"/>
    <n v="6658.17"/>
  </r>
  <r>
    <n v="545"/>
    <s v="RDT2020011090"/>
    <x v="0"/>
    <x v="9"/>
    <x v="3"/>
    <s v="Poland"/>
    <s v="Sri Lanka"/>
    <x v="37"/>
    <s v="Mr Rytis zajanckauskas"/>
    <s v="rytis.zajanckauskas@sananet.lt"/>
    <d v="2020-01-15T00:00:00"/>
    <d v="2020-02-15T00:00:00"/>
    <d v="2020-02-22T00:00:00"/>
    <n v="7"/>
    <s v="USD"/>
    <n v="3389.62"/>
    <m/>
    <x v="5"/>
    <x v="1"/>
    <n v="3389.62"/>
  </r>
  <r>
    <n v="546"/>
    <s v="RDT2020011083"/>
    <x v="0"/>
    <x v="9"/>
    <x v="15"/>
    <s v="United Kingdom"/>
    <s v="Sri Lanka"/>
    <x v="1"/>
    <s v="Mr Mike Merrick"/>
    <s v="mike.merrick2017@outlook.com"/>
    <d v="2020-01-14T00:00:00"/>
    <d v="2020-03-02T00:00:00"/>
    <d v="2020-03-14T00:00:00"/>
    <n v="12"/>
    <s v="USD"/>
    <n v="625"/>
    <m/>
    <x v="5"/>
    <x v="0"/>
    <n v="625"/>
  </r>
  <r>
    <n v="547"/>
    <s v="RDT2020011073"/>
    <x v="0"/>
    <x v="9"/>
    <x v="15"/>
    <s v="Hong Kong"/>
    <s v="Sri Lanka"/>
    <x v="38"/>
    <s v="Mr Otto Tong"/>
    <s v="ottotong@realholiday.com.hk"/>
    <d v="2020-01-13T00:00:00"/>
    <d v="2020-01-31T00:00:00"/>
    <d v="2020-02-08T00:00:00"/>
    <n v="8"/>
    <s v="USD"/>
    <n v="800"/>
    <m/>
    <x v="5"/>
    <x v="2"/>
    <n v="800"/>
  </r>
  <r>
    <n v="548"/>
    <s v="SLIS2020011072"/>
    <x v="1"/>
    <x v="9"/>
    <x v="3"/>
    <s v="Belgium"/>
    <s v="Sri Lanka"/>
    <x v="31"/>
    <s v="Mr Moncousin Michel"/>
    <s v="isa.michiels@skynet.be"/>
    <d v="2020-01-13T00:00:00"/>
    <d v="2020-02-10T00:00:00"/>
    <d v="2020-03-02T00:00:00"/>
    <n v="21"/>
    <s v="USD"/>
    <n v="24896.78"/>
    <m/>
    <x v="5"/>
    <x v="1"/>
    <n v="24896.78"/>
  </r>
  <r>
    <n v="549"/>
    <s v="RDT2020011060"/>
    <x v="0"/>
    <x v="9"/>
    <x v="18"/>
    <s v="United Kingdom"/>
    <s v="Sri Lanka"/>
    <x v="1"/>
    <s v="Ms Suzanne Gundred De Warrenne Katkhuda"/>
    <s v="suzannekatkhuda@btinternet.com"/>
    <d v="2020-01-10T00:00:00"/>
    <d v="2020-02-09T00:00:00"/>
    <d v="2020-02-24T00:00:00"/>
    <n v="15"/>
    <s v="USD"/>
    <n v="8122.58"/>
    <m/>
    <x v="5"/>
    <x v="1"/>
    <n v="8122.58"/>
  </r>
  <r>
    <n v="550"/>
    <s v="RDT2020011059"/>
    <x v="0"/>
    <x v="9"/>
    <x v="18"/>
    <s v="United Kingdom"/>
    <s v="Sri Lanka"/>
    <x v="1"/>
    <s v="Ms Sofia Lindqvist"/>
    <s v="Sofia.Lindqvist@astrazeneca.com"/>
    <d v="2020-01-10T00:00:00"/>
    <d v="2020-02-07T00:00:00"/>
    <d v="2020-02-09T00:00:00"/>
    <n v="2"/>
    <s v="USD"/>
    <n v="1094"/>
    <m/>
    <x v="5"/>
    <x v="1"/>
    <n v="1094"/>
  </r>
  <r>
    <n v="551"/>
    <s v="SLIS2020011052"/>
    <x v="1"/>
    <x v="9"/>
    <x v="15"/>
    <s v="United Kingdom"/>
    <s v="Sri Lanka"/>
    <x v="1"/>
    <s v="Mr Simon Potts"/>
    <s v="simon.potts@me.com"/>
    <d v="2020-01-09T00:00:00"/>
    <d v="2020-01-20T00:00:00"/>
    <d v="2020-01-29T00:00:00"/>
    <n v="9"/>
    <s v="USD"/>
    <n v="900"/>
    <m/>
    <x v="5"/>
    <x v="2"/>
    <n v="900"/>
  </r>
  <r>
    <n v="552"/>
    <s v="RDT2020011050"/>
    <x v="0"/>
    <x v="9"/>
    <x v="4"/>
    <s v="United Kingdom"/>
    <s v="Sri Lanka"/>
    <x v="1"/>
    <s v="Ms Khadijay  Nanji"/>
    <s v="kjnanji@gmail.com"/>
    <d v="2020-01-09T00:00:00"/>
    <d v="2020-03-03T00:00:00"/>
    <d v="2020-03-16T00:00:00"/>
    <n v="13"/>
    <s v="GBP"/>
    <n v="6579.28"/>
    <m/>
    <x v="5"/>
    <x v="0"/>
    <n v="6579.28"/>
  </r>
  <r>
    <n v="553"/>
    <s v="SLIS2020011049"/>
    <x v="1"/>
    <x v="9"/>
    <x v="3"/>
    <s v="Jamaica"/>
    <s v="Sri Lanka"/>
    <x v="39"/>
    <s v="Ms Stephanie Campbell"/>
    <s v="stephanierowena@live.com"/>
    <d v="2020-01-08T00:00:00"/>
    <d v="2020-01-13T00:00:00"/>
    <d v="2020-01-19T00:00:00"/>
    <n v="6"/>
    <s v="USD"/>
    <n v="1285.98"/>
    <m/>
    <x v="5"/>
    <x v="2"/>
    <n v="1285.98"/>
  </r>
  <r>
    <n v="554"/>
    <s v="RDT2020011039"/>
    <x v="0"/>
    <x v="9"/>
    <x v="4"/>
    <s v="Hong Kong"/>
    <s v="Sri Lanka"/>
    <x v="38"/>
    <s v="Mr Dennis Jit Yin Wan"/>
    <s v="the.dennis.wan@gmail.com"/>
    <d v="2020-01-07T00:00:00"/>
    <d v="2020-01-26T00:00:00"/>
    <d v="2020-02-01T00:00:00"/>
    <n v="6"/>
    <s v="USD"/>
    <n v="3737.73"/>
    <m/>
    <x v="5"/>
    <x v="2"/>
    <n v="3737.73"/>
  </r>
  <r>
    <n v="555"/>
    <s v="SLIS2020011038"/>
    <x v="1"/>
    <x v="9"/>
    <x v="23"/>
    <s v="Australia"/>
    <s v="Sri Lanka"/>
    <x v="2"/>
    <s v="Mrs Charmaine Shaumya  Hood"/>
    <s v="shaumya_cj@yahoo.com"/>
    <d v="2020-01-07T00:00:00"/>
    <d v="2020-01-13T00:00:00"/>
    <d v="2020-01-17T00:00:00"/>
    <n v="4"/>
    <s v="LKR"/>
    <n v="791335.22"/>
    <m/>
    <x v="5"/>
    <x v="2"/>
    <n v="791335.22"/>
  </r>
  <r>
    <n v="556"/>
    <s v="RDT2020011034"/>
    <x v="0"/>
    <x v="9"/>
    <x v="5"/>
    <s v="United Kingdom"/>
    <s v="Sri Lanka"/>
    <x v="1"/>
    <s v="Mr David Illing"/>
    <s v="davidilling30@aol.com"/>
    <d v="2020-01-06T00:00:00"/>
    <d v="2020-03-11T00:00:00"/>
    <d v="2020-03-24T00:00:00"/>
    <n v="13"/>
    <s v="GBP"/>
    <n v="3132.48"/>
    <m/>
    <x v="5"/>
    <x v="0"/>
    <n v="3132.48"/>
  </r>
  <r>
    <n v="557"/>
    <s v="RDT2020011031"/>
    <x v="0"/>
    <x v="9"/>
    <x v="3"/>
    <s v="United Kingdom"/>
    <s v="Sri Lanka"/>
    <x v="1"/>
    <s v="Ms Joanna Sugden"/>
    <s v="sugdenjoanna@googlemail.com"/>
    <d v="2020-01-03T00:00:00"/>
    <d v="2020-02-02T00:00:00"/>
    <d v="2020-02-23T00:00:00"/>
    <n v="21"/>
    <s v="USD"/>
    <n v="3241.4"/>
    <m/>
    <x v="5"/>
    <x v="1"/>
    <n v="3241.4"/>
  </r>
  <r>
    <n v="558"/>
    <s v="RDT2020011021"/>
    <x v="0"/>
    <x v="9"/>
    <x v="18"/>
    <s v="United Kingdom"/>
    <s v="Sri Lanka"/>
    <x v="40"/>
    <s v="Mrs Agata Sadowska"/>
    <s v="Agata.sadowska@ymail.com"/>
    <d v="2020-01-02T00:00:00"/>
    <d v="2020-01-10T00:00:00"/>
    <d v="2020-01-20T00:00:00"/>
    <n v="10"/>
    <s v="USD"/>
    <n v="2920.02"/>
    <m/>
    <x v="5"/>
    <x v="2"/>
    <n v="2920.02"/>
  </r>
  <r>
    <n v="559"/>
    <s v="RDT2019121012"/>
    <x v="0"/>
    <x v="9"/>
    <x v="15"/>
    <s v="Australia"/>
    <s v="Sri Lanka"/>
    <x v="2"/>
    <s v="Ms Jan Simon"/>
    <s v="andy.symon@flightcentre.com.au;jan.l.simon@icloud.com"/>
    <d v="2019-12-31T00:00:00"/>
    <d v="2020-04-03T00:00:00"/>
    <d v="2020-04-03T00:00:00"/>
    <n v="0"/>
    <s v="AUD"/>
    <n v="13740"/>
    <m/>
    <x v="5"/>
    <x v="11"/>
    <n v="13740"/>
  </r>
  <r>
    <n v="560"/>
    <s v="RDT2019121009"/>
    <x v="0"/>
    <x v="9"/>
    <x v="15"/>
    <s v="United Kingdom"/>
    <s v="Sri Lanka"/>
    <x v="1"/>
    <s v="Ms Eleanor Butt"/>
    <s v="Eleanorbutt@gmail.com"/>
    <d v="2019-12-31T00:00:00"/>
    <d v="2020-01-07T00:00:00"/>
    <d v="2020-01-08T00:00:00"/>
    <n v="1"/>
    <s v="USD"/>
    <n v="90"/>
    <m/>
    <x v="5"/>
    <x v="2"/>
    <n v="90"/>
  </r>
  <r>
    <n v="561"/>
    <s v="RDT2019121008"/>
    <x v="0"/>
    <x v="9"/>
    <x v="3"/>
    <s v="Bosnia and Herzegovina"/>
    <s v="Sri Lanka"/>
    <x v="41"/>
    <s v="Ms Nera Nera"/>
    <s v="nera.cosic@gmail.com"/>
    <d v="2019-12-30T00:00:00"/>
    <d v="2019-12-31T00:00:00"/>
    <d v="2020-01-07T00:00:00"/>
    <n v="7"/>
    <s v="USD"/>
    <n v="1299.0899999999999"/>
    <m/>
    <x v="6"/>
    <x v="3"/>
    <n v="1299.0899999999999"/>
  </r>
  <r>
    <n v="562"/>
    <s v="RDT2019121007"/>
    <x v="0"/>
    <x v="9"/>
    <x v="15"/>
    <s v="United States of America"/>
    <s v="Sri Lanka"/>
    <x v="12"/>
    <s v="Mr Venkataraghavan Santhanam"/>
    <s v="shanakamm@gmail.com"/>
    <d v="2019-12-30T00:00:00"/>
    <d v="2020-01-02T00:00:00"/>
    <d v="2020-01-05T00:00:00"/>
    <n v="3"/>
    <s v="USD"/>
    <n v="340"/>
    <m/>
    <x v="5"/>
    <x v="2"/>
    <n v="340"/>
  </r>
  <r>
    <n v="563"/>
    <s v="RDT2019121006"/>
    <x v="0"/>
    <x v="9"/>
    <x v="15"/>
    <s v="Spain"/>
    <s v="Sri Lanka"/>
    <x v="18"/>
    <s v="Mr Eduardo Garre x 02 clients"/>
    <s v="Eduardogarrehernanz@gmail.com"/>
    <d v="2019-12-28T00:00:00"/>
    <d v="2019-12-31T00:00:00"/>
    <d v="2020-01-05T00:00:00"/>
    <n v="5"/>
    <s v="USD"/>
    <n v="225"/>
    <m/>
    <x v="6"/>
    <x v="3"/>
    <n v="225"/>
  </r>
  <r>
    <n v="564"/>
    <s v="RDT2019121002"/>
    <x v="0"/>
    <x v="9"/>
    <x v="4"/>
    <s v="Cyprus"/>
    <s v="Sri Lanka"/>
    <x v="42"/>
    <s v="Ms Anna  Kyprianou"/>
    <s v="anna.kyprianou@gmail.com"/>
    <d v="2019-12-27T00:00:00"/>
    <d v="2020-01-03T00:00:00"/>
    <d v="2020-01-14T00:00:00"/>
    <n v="11"/>
    <s v="USD"/>
    <n v="3014.17"/>
    <m/>
    <x v="5"/>
    <x v="2"/>
    <n v="3014.17"/>
  </r>
  <r>
    <n v="565"/>
    <s v="RDT2019121001"/>
    <x v="0"/>
    <x v="9"/>
    <x v="15"/>
    <s v="United States of America"/>
    <s v="Sri Lanka"/>
    <x v="0"/>
    <s v="Mr Bryant Detwiller"/>
    <s v="bryant.detwiller@gmail.com"/>
    <d v="2019-12-26T00:00:00"/>
    <d v="2019-12-30T00:00:00"/>
    <d v="2020-01-07T00:00:00"/>
    <n v="8"/>
    <s v="USD"/>
    <n v="405"/>
    <m/>
    <x v="6"/>
    <x v="3"/>
    <n v="405"/>
  </r>
  <r>
    <n v="566"/>
    <s v="RDT201912998"/>
    <x v="0"/>
    <x v="9"/>
    <x v="15"/>
    <s v="Sri Lanka"/>
    <s v="Sri Lanka"/>
    <x v="12"/>
    <s v="Mr Utkarsh Garg"/>
    <s v="utkarshgarg1110@gmail.com"/>
    <d v="2019-12-23T00:00:00"/>
    <d v="2019-12-28T00:00:00"/>
    <d v="2020-01-04T00:00:00"/>
    <n v="7"/>
    <s v="USD"/>
    <n v="400"/>
    <m/>
    <x v="6"/>
    <x v="3"/>
    <n v="400"/>
  </r>
  <r>
    <n v="567"/>
    <s v="RDT201912992"/>
    <x v="0"/>
    <x v="9"/>
    <x v="15"/>
    <s v="Australia"/>
    <s v="Sri Lanka"/>
    <x v="2"/>
    <s v="Mrs Rachel Richardson x 02 clients"/>
    <s v="rachel.richardson@talk21.com"/>
    <d v="2019-12-22T00:00:00"/>
    <d v="2019-12-27T00:00:00"/>
    <d v="2020-01-02T00:00:00"/>
    <n v="6"/>
    <s v="USD"/>
    <n v="315"/>
    <m/>
    <x v="6"/>
    <x v="3"/>
    <n v="315"/>
  </r>
  <r>
    <n v="568"/>
    <s v="RDT201912983"/>
    <x v="0"/>
    <x v="9"/>
    <x v="15"/>
    <s v="United Kingdom"/>
    <s v="Sri Lanka"/>
    <x v="1"/>
    <s v="Mr Sarah Booker"/>
    <s v="booker4@btinternet.com"/>
    <d v="2019-12-19T00:00:00"/>
    <d v="2020-02-03T00:00:00"/>
    <d v="2020-02-16T00:00:00"/>
    <n v="13"/>
    <s v="USD"/>
    <n v="780"/>
    <m/>
    <x v="5"/>
    <x v="1"/>
    <n v="780"/>
  </r>
  <r>
    <n v="569"/>
    <s v="RDT201912981"/>
    <x v="0"/>
    <x v="9"/>
    <x v="15"/>
    <s v="United Kingdom"/>
    <s v="Sri Lanka"/>
    <x v="1"/>
    <s v="Mr Jayne Gregory"/>
    <s v="jayniegirl.jg@gmail.com"/>
    <d v="2019-12-19T00:00:00"/>
    <d v="2019-12-24T00:00:00"/>
    <d v="2019-12-29T00:00:00"/>
    <n v="5"/>
    <s v="USD"/>
    <n v="580"/>
    <m/>
    <x v="6"/>
    <x v="3"/>
    <n v="580"/>
  </r>
  <r>
    <n v="570"/>
    <s v="SLIS201912980"/>
    <x v="1"/>
    <x v="9"/>
    <x v="22"/>
    <s v="Switzerland"/>
    <s v="Sri Lanka"/>
    <x v="21"/>
    <s v="Mrs Christa  W&amp;uuml;thrich"/>
    <m/>
    <d v="2019-12-19T00:00:00"/>
    <d v="2020-02-13T00:00:00"/>
    <d v="2020-02-16T00:00:00"/>
    <n v="3"/>
    <s v="USD"/>
    <n v="2640"/>
    <m/>
    <x v="5"/>
    <x v="1"/>
    <n v="2640"/>
  </r>
  <r>
    <n v="571"/>
    <s v="RDT201912979"/>
    <x v="0"/>
    <x v="9"/>
    <x v="15"/>
    <s v="United Kingdom"/>
    <s v="Sri Lanka"/>
    <x v="1"/>
    <s v="Mr Michael Cheung"/>
    <s v="michaelcheung@hotmail.co.uk"/>
    <d v="2019-12-19T00:00:00"/>
    <d v="2019-12-21T00:00:00"/>
    <d v="2019-12-26T00:00:00"/>
    <n v="5"/>
    <s v="USD"/>
    <n v="270"/>
    <m/>
    <x v="6"/>
    <x v="3"/>
    <n v="270"/>
  </r>
  <r>
    <n v="572"/>
    <s v="RDT201912973"/>
    <x v="0"/>
    <x v="9"/>
    <x v="3"/>
    <s v="United Kingdom"/>
    <s v="Sri Lanka"/>
    <x v="1"/>
    <s v="Ms Karen Parlett"/>
    <s v="KAZZIEP@BTINTERNET.COM"/>
    <d v="2019-12-18T00:00:00"/>
    <d v="2020-01-15T00:00:00"/>
    <d v="2020-02-02T00:00:00"/>
    <n v="18"/>
    <s v="USD"/>
    <n v="8177.45"/>
    <m/>
    <x v="5"/>
    <x v="2"/>
    <n v="8177.45"/>
  </r>
  <r>
    <n v="573"/>
    <s v="RDT201912970"/>
    <x v="0"/>
    <x v="9"/>
    <x v="15"/>
    <s v="United States of America"/>
    <s v="Sri Lanka"/>
    <x v="0"/>
    <s v="Mr Ravi Munjuluri"/>
    <s v="ravi.munjuluri@gmail.com"/>
    <d v="2019-12-17T00:00:00"/>
    <d v="2020-01-14T00:00:00"/>
    <d v="2020-01-19T00:00:00"/>
    <n v="5"/>
    <s v="USD"/>
    <n v="270"/>
    <m/>
    <x v="5"/>
    <x v="2"/>
    <n v="270"/>
  </r>
  <r>
    <n v="574"/>
    <s v="RDT201912969"/>
    <x v="0"/>
    <x v="9"/>
    <x v="14"/>
    <s v="Sri Lanka"/>
    <s v="Sri Lanka"/>
    <x v="1"/>
    <s v="Ms Nicola Rachel  Holt"/>
    <s v="nicolaholt.holt@gmail.com"/>
    <d v="2019-12-16T00:00:00"/>
    <d v="2020-03-06T00:00:00"/>
    <d v="2020-03-06T00:00:00"/>
    <n v="0"/>
    <s v="USD"/>
    <n v="5836"/>
    <m/>
    <x v="5"/>
    <x v="0"/>
    <n v="5836"/>
  </r>
  <r>
    <n v="575"/>
    <s v="SLIS201912966"/>
    <x v="1"/>
    <x v="9"/>
    <x v="2"/>
    <s v="Sweden"/>
    <s v="Sri Lanka"/>
    <x v="0"/>
    <s v="Mr Jim Haughwout"/>
    <s v="jim.haughwout@gmail.com"/>
    <d v="2019-12-16T00:00:00"/>
    <d v="2019-12-21T00:00:00"/>
    <d v="2019-12-28T00:00:00"/>
    <n v="7"/>
    <s v="USD"/>
    <n v="1584.18"/>
    <m/>
    <x v="6"/>
    <x v="3"/>
    <n v="1584.18"/>
  </r>
  <r>
    <n v="576"/>
    <s v="RDT201912958"/>
    <x v="0"/>
    <x v="9"/>
    <x v="18"/>
    <s v="United Kingdom"/>
    <s v="Sri Lanka"/>
    <x v="0"/>
    <s v="Mrs ,  Ann Koester Travers"/>
    <s v="anntravers52@gmail.com"/>
    <d v="2019-12-13T00:00:00"/>
    <d v="2020-01-21T00:00:00"/>
    <d v="2020-02-03T00:00:00"/>
    <n v="13"/>
    <s v="USD"/>
    <n v="8444.5400000000009"/>
    <m/>
    <x v="5"/>
    <x v="2"/>
    <n v="8444.5400000000009"/>
  </r>
  <r>
    <n v="577"/>
    <s v="SLIS201912953"/>
    <x v="1"/>
    <x v="9"/>
    <x v="10"/>
    <s v="Spain"/>
    <s v="Sri Lanka"/>
    <x v="18"/>
    <s v="Mr Xavi Pascual"/>
    <s v="xavi@promoartsmusic.com"/>
    <d v="2019-12-11T00:00:00"/>
    <d v="2019-12-27T00:00:00"/>
    <d v="2020-01-02T00:00:00"/>
    <n v="6"/>
    <s v="USD"/>
    <n v="3415.56"/>
    <m/>
    <x v="6"/>
    <x v="3"/>
    <n v="3415.56"/>
  </r>
  <r>
    <n v="578"/>
    <s v="RDT201912951"/>
    <x v="0"/>
    <x v="9"/>
    <x v="3"/>
    <s v="United States of America"/>
    <s v="Sri Lanka"/>
    <x v="0"/>
    <s v="Mr Anthony  Nahas"/>
    <s v="anthonynahas@yahoo.com"/>
    <d v="2019-12-11T00:00:00"/>
    <d v="2020-01-06T00:00:00"/>
    <d v="2020-01-19T00:00:00"/>
    <n v="13"/>
    <s v="USD"/>
    <n v="3220"/>
    <m/>
    <x v="5"/>
    <x v="2"/>
    <n v="3220"/>
  </r>
  <r>
    <n v="579"/>
    <s v="RDT201912950"/>
    <x v="0"/>
    <x v="9"/>
    <x v="15"/>
    <s v="United States of America"/>
    <s v="Sri Lanka"/>
    <x v="0"/>
    <s v="Mr Silvia M Kreindel"/>
    <s v="silvia.kreindel@usda.gov"/>
    <d v="2019-12-11T00:00:00"/>
    <d v="2020-01-25T00:00:00"/>
    <d v="2020-02-02T00:00:00"/>
    <n v="8"/>
    <s v="USD"/>
    <n v="405"/>
    <m/>
    <x v="5"/>
    <x v="2"/>
    <n v="405"/>
  </r>
  <r>
    <n v="580"/>
    <s v="RDT201912946"/>
    <x v="0"/>
    <x v="9"/>
    <x v="22"/>
    <s v="United Kingdom"/>
    <s v="Sri Lanka"/>
    <x v="1"/>
    <s v="Mr BRYAN JOHN CHAPMAN"/>
    <m/>
    <d v="2019-12-10T00:00:00"/>
    <d v="2020-01-02T00:00:00"/>
    <d v="2020-01-11T00:00:00"/>
    <n v="9"/>
    <s v="USD"/>
    <n v="3780"/>
    <m/>
    <x v="5"/>
    <x v="2"/>
    <n v="3780"/>
  </r>
  <r>
    <n v="581"/>
    <s v="SLIS201912944"/>
    <x v="1"/>
    <x v="9"/>
    <x v="2"/>
    <s v="Australia"/>
    <s v="Sri Lanka"/>
    <x v="2"/>
    <s v="Mr Peter Ferguson"/>
    <s v="pferg@melbpc.org.au"/>
    <d v="2019-12-10T00:00:00"/>
    <d v="2020-03-03T00:00:00"/>
    <d v="2020-03-17T00:00:00"/>
    <n v="14"/>
    <s v="USD"/>
    <n v="7650.46"/>
    <m/>
    <x v="5"/>
    <x v="0"/>
    <n v="7650.46"/>
  </r>
  <r>
    <n v="582"/>
    <s v="SLIS201912939"/>
    <x v="1"/>
    <x v="9"/>
    <x v="2"/>
    <s v="United States of America"/>
    <s v="Sri Lanka"/>
    <x v="0"/>
    <s v="Mr Justin Mosier"/>
    <s v="justin.mosier@gmail.com"/>
    <d v="2019-12-06T00:00:00"/>
    <d v="2020-01-29T00:00:00"/>
    <d v="2020-02-01T00:00:00"/>
    <n v="3"/>
    <s v="USD"/>
    <n v="2738.48"/>
    <m/>
    <x v="5"/>
    <x v="2"/>
    <n v="2738.48"/>
  </r>
  <r>
    <n v="583"/>
    <s v="RDT201912938"/>
    <x v="0"/>
    <x v="9"/>
    <x v="15"/>
    <s v="Spain"/>
    <s v="Sri Lanka"/>
    <x v="18"/>
    <s v="Mr Miguel Angel x 04 pax"/>
    <s v="mapenar2@hotmail.com"/>
    <d v="2019-12-05T00:00:00"/>
    <d v="2020-01-09T00:00:00"/>
    <d v="2020-01-16T00:00:00"/>
    <n v="7"/>
    <s v="USD"/>
    <n v="480"/>
    <m/>
    <x v="5"/>
    <x v="2"/>
    <n v="480"/>
  </r>
  <r>
    <n v="584"/>
    <s v="RDT201912936"/>
    <x v="0"/>
    <x v="9"/>
    <x v="18"/>
    <s v="Singapore"/>
    <s v="Sri Lanka"/>
    <x v="4"/>
    <s v="Ms Lynette Lee"/>
    <s v="Lynetteme@gmail.com"/>
    <d v="2019-12-05T00:00:00"/>
    <d v="2019-12-15T00:00:00"/>
    <d v="2019-12-22T00:00:00"/>
    <n v="7"/>
    <s v="USD"/>
    <n v="5961.04"/>
    <m/>
    <x v="6"/>
    <x v="3"/>
    <n v="5961.04"/>
  </r>
  <r>
    <n v="585"/>
    <s v="SLIS201912935"/>
    <x v="1"/>
    <x v="9"/>
    <x v="3"/>
    <s v="Norway"/>
    <s v="Sri Lanka"/>
    <x v="43"/>
    <s v="Mr Dag Kittang"/>
    <s v="dag.kittang@ntnu.no"/>
    <d v="2019-12-05T00:00:00"/>
    <d v="2019-12-31T00:00:00"/>
    <d v="2020-01-12T00:00:00"/>
    <n v="12"/>
    <s v="USD"/>
    <n v="1880"/>
    <m/>
    <x v="6"/>
    <x v="3"/>
    <n v="1880"/>
  </r>
  <r>
    <n v="586"/>
    <s v="SLIS201912929"/>
    <x v="1"/>
    <x v="9"/>
    <x v="22"/>
    <s v="United States of America"/>
    <s v="Sri Lanka"/>
    <x v="0"/>
    <s v="Ms Megan Katherine  Lollar"/>
    <m/>
    <d v="2019-12-04T00:00:00"/>
    <d v="2019-12-31T00:00:00"/>
    <d v="2020-01-05T00:00:00"/>
    <n v="5"/>
    <s v="USD"/>
    <n v="2065"/>
    <m/>
    <x v="6"/>
    <x v="3"/>
    <n v="2065"/>
  </r>
  <r>
    <n v="587"/>
    <s v="SLIS201912927"/>
    <x v="1"/>
    <x v="9"/>
    <x v="19"/>
    <s v="United Kingdom"/>
    <s v="Sri Lanka"/>
    <x v="1"/>
    <s v="Ms Victoria Buhler"/>
    <m/>
    <d v="2019-12-04T00:00:00"/>
    <d v="2020-02-12T00:00:00"/>
    <d v="2020-02-18T00:00:00"/>
    <n v="6"/>
    <s v="USD"/>
    <n v="550"/>
    <m/>
    <x v="5"/>
    <x v="1"/>
    <n v="550"/>
  </r>
  <r>
    <n v="588"/>
    <s v="RDT201912920"/>
    <x v="0"/>
    <x v="9"/>
    <x v="18"/>
    <s v="United Kingdom"/>
    <s v="Sri Lanka"/>
    <x v="1"/>
    <s v="Mr Mark Morley"/>
    <s v="bdjmorley@gmail.com"/>
    <d v="2019-12-02T00:00:00"/>
    <d v="2020-01-05T00:00:00"/>
    <d v="2020-01-07T00:00:00"/>
    <n v="2"/>
    <s v="USD"/>
    <n v="3240"/>
    <m/>
    <x v="5"/>
    <x v="2"/>
    <n v="3240"/>
  </r>
  <r>
    <n v="589"/>
    <s v="RDT201912915"/>
    <x v="0"/>
    <x v="9"/>
    <x v="15"/>
    <s v="United Kingdom"/>
    <s v="Sri Lanka"/>
    <x v="1"/>
    <s v="Mr Alison Belamant"/>
    <s v="aabelamant@gmail.com"/>
    <d v="2019-12-02T00:00:00"/>
    <d v="2019-12-21T00:00:00"/>
    <d v="2020-01-02T00:00:00"/>
    <n v="12"/>
    <s v="USD"/>
    <n v="270"/>
    <m/>
    <x v="6"/>
    <x v="3"/>
    <n v="270"/>
  </r>
  <r>
    <n v="590"/>
    <s v="RDT201912914"/>
    <x v="0"/>
    <x v="9"/>
    <x v="15"/>
    <s v="United Kingdom"/>
    <s v="Sri Lanka"/>
    <x v="1"/>
    <s v="Mr Cristian Opris"/>
    <s v="cristian.opris@gmail.com"/>
    <d v="2019-12-01T00:00:00"/>
    <d v="2019-12-11T00:00:00"/>
    <d v="2019-12-21T00:00:00"/>
    <n v="10"/>
    <s v="USD"/>
    <n v="484"/>
    <m/>
    <x v="6"/>
    <x v="3"/>
    <n v="484"/>
  </r>
  <r>
    <n v="591"/>
    <s v="RDT201911912"/>
    <x v="0"/>
    <x v="9"/>
    <x v="3"/>
    <s v="Singapore"/>
    <s v="Sri Lanka"/>
    <x v="12"/>
    <s v="Mr Kartik Gupta"/>
    <s v="ritikaxlri07@gmail.com"/>
    <d v="2019-11-29T00:00:00"/>
    <d v="2019-12-26T00:00:00"/>
    <d v="2020-01-02T00:00:00"/>
    <n v="7"/>
    <s v="USD"/>
    <n v="986"/>
    <m/>
    <x v="6"/>
    <x v="3"/>
    <n v="986"/>
  </r>
  <r>
    <n v="592"/>
    <s v="RDT201911902"/>
    <x v="0"/>
    <x v="9"/>
    <x v="15"/>
    <s v="United Kingdom"/>
    <s v="Sri Lanka"/>
    <x v="1"/>
    <s v="Mr Daniel Jordan"/>
    <s v="dan_jor09@hotmail.com"/>
    <d v="2019-11-28T00:00:00"/>
    <d v="2019-12-13T00:00:00"/>
    <d v="2019-12-13T00:00:00"/>
    <n v="0"/>
    <s v="USD"/>
    <n v="110"/>
    <m/>
    <x v="6"/>
    <x v="3"/>
    <n v="110"/>
  </r>
  <r>
    <n v="593"/>
    <s v="RDT201911899"/>
    <x v="0"/>
    <x v="9"/>
    <x v="24"/>
    <s v="Singapore"/>
    <s v="Sri Lanka"/>
    <x v="4"/>
    <s v="Mr Shaikh Anwar  Ishak"/>
    <s v="anwar@agromedresources.com"/>
    <d v="2019-11-27T00:00:00"/>
    <d v="2020-01-20T00:00:00"/>
    <d v="2020-01-30T00:00:00"/>
    <n v="10"/>
    <s v="USD"/>
    <n v="3486"/>
    <m/>
    <x v="5"/>
    <x v="2"/>
    <n v="3486"/>
  </r>
  <r>
    <n v="594"/>
    <s v="SLIS201911897"/>
    <x v="1"/>
    <x v="9"/>
    <x v="19"/>
    <s v="United Arab Emirates"/>
    <s v="Sri Lanka"/>
    <x v="1"/>
    <s v="Ms Aanal Chandaria"/>
    <s v="aanal.chandaria@gmail.com"/>
    <d v="2019-11-26T00:00:00"/>
    <d v="2019-12-16T00:00:00"/>
    <d v="2019-12-18T00:00:00"/>
    <n v="2"/>
    <s v="USD"/>
    <n v="1878"/>
    <m/>
    <x v="6"/>
    <x v="3"/>
    <n v="1878"/>
  </r>
  <r>
    <n v="595"/>
    <s v="RDT201911891"/>
    <x v="0"/>
    <x v="9"/>
    <x v="15"/>
    <s v="United Kingdom"/>
    <s v="Sri Lanka"/>
    <x v="1"/>
    <s v="Ms Marcia Scott"/>
    <s v="marciascott.to@gmail.com"/>
    <d v="2019-11-26T00:00:00"/>
    <d v="2019-12-01T00:00:00"/>
    <d v="2019-12-06T00:00:00"/>
    <n v="5"/>
    <s v="USD"/>
    <n v="270"/>
    <m/>
    <x v="6"/>
    <x v="3"/>
    <n v="270"/>
  </r>
  <r>
    <n v="596"/>
    <s v="RDT201911889"/>
    <x v="0"/>
    <x v="9"/>
    <x v="15"/>
    <s v="Pakistan"/>
    <s v="Sri Lanka"/>
    <x v="44"/>
    <s v="Mr Javairia Shahid"/>
    <s v="riash55@gmail.com"/>
    <d v="2019-11-26T00:00:00"/>
    <d v="2019-12-15T00:00:00"/>
    <d v="2019-12-26T00:00:00"/>
    <n v="11"/>
    <s v="USD"/>
    <n v="540"/>
    <m/>
    <x v="6"/>
    <x v="3"/>
    <n v="540"/>
  </r>
  <r>
    <n v="597"/>
    <s v="RDT201911888"/>
    <x v="0"/>
    <x v="9"/>
    <x v="18"/>
    <s v="Sri Lanka"/>
    <s v="Sri Lanka"/>
    <x v="9"/>
    <s v="Mr Malaka Talwatte"/>
    <m/>
    <d v="2019-11-25T00:00:00"/>
    <d v="2019-12-01T00:00:00"/>
    <d v="2019-12-03T00:00:00"/>
    <n v="2"/>
    <s v="LKR"/>
    <n v="122000"/>
    <m/>
    <x v="6"/>
    <x v="3"/>
    <n v="122000"/>
  </r>
  <r>
    <n v="598"/>
    <s v="SLIS201911882"/>
    <x v="1"/>
    <x v="9"/>
    <x v="19"/>
    <s v="United Kingdom"/>
    <s v="Sri Lanka"/>
    <x v="1"/>
    <s v="Mrs Alice Newton-Rex"/>
    <m/>
    <d v="2019-11-25T00:00:00"/>
    <d v="2019-12-29T00:00:00"/>
    <d v="2020-01-09T00:00:00"/>
    <n v="11"/>
    <s v="USD"/>
    <n v="920"/>
    <m/>
    <x v="6"/>
    <x v="3"/>
    <n v="920"/>
  </r>
  <r>
    <n v="599"/>
    <s v="RDT201911867"/>
    <x v="0"/>
    <x v="9"/>
    <x v="15"/>
    <s v="United Kingdom"/>
    <s v="Sri Lanka"/>
    <x v="1"/>
    <s v="Mr Howie Kaler"/>
    <s v="howie.kaler@gmail.com"/>
    <d v="2019-11-22T00:00:00"/>
    <d v="2019-12-24T00:00:00"/>
    <d v="2020-01-06T00:00:00"/>
    <n v="13"/>
    <s v="USD"/>
    <n v="798"/>
    <m/>
    <x v="6"/>
    <x v="3"/>
    <n v="798"/>
  </r>
  <r>
    <n v="600"/>
    <s v="RDT201911866"/>
    <x v="0"/>
    <x v="9"/>
    <x v="4"/>
    <s v="Australia"/>
    <s v="Sri Lanka"/>
    <x v="2"/>
    <s v="Mr Richard  Quakernaat"/>
    <s v="rpquakernaat@yahoo.com.au"/>
    <d v="2019-11-22T00:00:00"/>
    <d v="2020-02-20T00:00:00"/>
    <d v="2020-03-03T00:00:00"/>
    <n v="12"/>
    <s v="USD"/>
    <n v="3564"/>
    <m/>
    <x v="5"/>
    <x v="1"/>
    <n v="3564"/>
  </r>
  <r>
    <n v="601"/>
    <s v="RDT201911862"/>
    <x v="0"/>
    <x v="9"/>
    <x v="3"/>
    <s v="United Kingdom"/>
    <s v="Sri Lanka"/>
    <x v="1"/>
    <s v="Mrs Christina Poulton"/>
    <s v="christinapoultoncreative@gmail.com"/>
    <d v="2019-11-21T00:00:00"/>
    <d v="2020-02-22T00:00:00"/>
    <d v="2020-03-07T00:00:00"/>
    <n v="14"/>
    <s v="USD"/>
    <n v="3174"/>
    <m/>
    <x v="5"/>
    <x v="1"/>
    <n v="3174"/>
  </r>
  <r>
    <n v="602"/>
    <s v="RDT201911861"/>
    <x v="0"/>
    <x v="9"/>
    <x v="15"/>
    <s v="United Arab Emirates"/>
    <s v="Sri Lanka"/>
    <x v="9"/>
    <s v="Mr Kevin Kurian"/>
    <s v="kevin_8924@hotmail.com"/>
    <d v="2019-11-21T00:00:00"/>
    <d v="2019-11-28T00:00:00"/>
    <d v="2019-12-02T00:00:00"/>
    <n v="4"/>
    <s v="USD"/>
    <n v="398"/>
    <m/>
    <x v="6"/>
    <x v="4"/>
    <n v="398"/>
  </r>
  <r>
    <n v="603"/>
    <s v="RDT201911858"/>
    <x v="0"/>
    <x v="9"/>
    <x v="3"/>
    <s v="United Kingdom"/>
    <s v="Sri Lanka"/>
    <x v="1"/>
    <s v="Mrs Gemma Priggen"/>
    <s v="gemma@academyfilms.com"/>
    <d v="2019-11-19T00:00:00"/>
    <d v="2020-01-02T00:00:00"/>
    <d v="2020-01-04T00:00:00"/>
    <n v="2"/>
    <s v="USD"/>
    <n v="324"/>
    <m/>
    <x v="5"/>
    <x v="2"/>
    <n v="324"/>
  </r>
  <r>
    <n v="604"/>
    <s v="RDT201911855"/>
    <x v="0"/>
    <x v="9"/>
    <x v="21"/>
    <s v="Spain"/>
    <s v="Sri Lanka"/>
    <x v="18"/>
    <s v="Mrs Freweyni Teclehaimanot"/>
    <s v="freweyni@celinestockholm.se"/>
    <d v="2019-11-19T00:00:00"/>
    <d v="2019-12-19T00:00:00"/>
    <d v="2020-01-03T00:00:00"/>
    <n v="15"/>
    <s v="USD"/>
    <n v="1040"/>
    <m/>
    <x v="6"/>
    <x v="3"/>
    <n v="1040"/>
  </r>
  <r>
    <n v="605"/>
    <s v="SLIS201911854"/>
    <x v="1"/>
    <x v="9"/>
    <x v="25"/>
    <s v="Greece"/>
    <s v="Sri Lanka"/>
    <x v="45"/>
    <s v="Mrs Aimilia Prokopi"/>
    <m/>
    <d v="2019-11-18T00:00:00"/>
    <d v="2019-12-22T00:00:00"/>
    <d v="2019-12-28T00:00:00"/>
    <n v="6"/>
    <s v="USD"/>
    <n v="22440"/>
    <m/>
    <x v="6"/>
    <x v="3"/>
    <n v="22440"/>
  </r>
  <r>
    <n v="606"/>
    <s v="RDT201911844"/>
    <x v="0"/>
    <x v="9"/>
    <x v="19"/>
    <s v="United Kingdom"/>
    <s v="Sri Lanka"/>
    <x v="1"/>
    <s v="Mr Gareth  Copely"/>
    <s v="Gareth.Copley@gettyimages.com&gt;"/>
    <d v="2019-11-13T00:00:00"/>
    <d v="2020-03-03T00:00:00"/>
    <d v="2020-04-01T00:00:00"/>
    <n v="29"/>
    <s v="USD"/>
    <n v="4706.2"/>
    <m/>
    <x v="5"/>
    <x v="0"/>
    <n v="4706.2"/>
  </r>
  <r>
    <n v="607"/>
    <s v="RDT201911839"/>
    <x v="0"/>
    <x v="9"/>
    <x v="15"/>
    <s v="Australia"/>
    <s v="Sri Lanka"/>
    <x v="2"/>
    <s v="Ms Caroline Lamb Lamb"/>
    <s v="Carolinelamb@bigpond.com"/>
    <d v="2019-11-13T00:00:00"/>
    <d v="2020-01-06T00:00:00"/>
    <d v="2020-01-13T00:00:00"/>
    <n v="7"/>
    <s v="USD"/>
    <n v="400"/>
    <m/>
    <x v="5"/>
    <x v="2"/>
    <n v="400"/>
  </r>
  <r>
    <n v="608"/>
    <s v="SLIS201911821"/>
    <x v="1"/>
    <x v="9"/>
    <x v="26"/>
    <s v="Sri Lanka"/>
    <s v="Sri Lanka"/>
    <x v="9"/>
    <s v="Mr Nathan Sivagananathan"/>
    <m/>
    <d v="2019-11-06T00:00:00"/>
    <d v="2019-06-28T00:00:00"/>
    <d v="2019-06-29T00:00:00"/>
    <n v="1"/>
    <s v="USD"/>
    <n v="3271.27"/>
    <m/>
    <x v="6"/>
    <x v="9"/>
    <n v="3271.27"/>
  </r>
  <r>
    <n v="609"/>
    <s v="SLIS201911819"/>
    <x v="1"/>
    <x v="9"/>
    <x v="3"/>
    <s v="United Kingdom"/>
    <s v="Sri Lanka"/>
    <x v="1"/>
    <s v="Mrs Lady  Sarah Younger"/>
    <s v="safa949698@gmail.com"/>
    <d v="2019-11-06T00:00:00"/>
    <d v="2019-12-28T00:00:00"/>
    <d v="2020-01-07T00:00:00"/>
    <n v="10"/>
    <s v="USD"/>
    <n v="7328.02"/>
    <m/>
    <x v="6"/>
    <x v="3"/>
    <n v="7328.02"/>
  </r>
  <r>
    <n v="610"/>
    <s v="RDT201911817"/>
    <x v="0"/>
    <x v="9"/>
    <x v="15"/>
    <s v="United Kingdom"/>
    <s v="Sri Lanka"/>
    <x v="1"/>
    <s v="Mr Chris Thrush"/>
    <s v="christhrush@hotmail.co.uk"/>
    <d v="2019-11-05T00:00:00"/>
    <d v="2019-12-30T00:00:00"/>
    <d v="2020-01-07T00:00:00"/>
    <n v="8"/>
    <s v="USD"/>
    <n v="480"/>
    <m/>
    <x v="6"/>
    <x v="3"/>
    <n v="480"/>
  </r>
  <r>
    <n v="611"/>
    <s v="SLIS201911813"/>
    <x v="1"/>
    <x v="9"/>
    <x v="10"/>
    <s v="Spain"/>
    <s v="Sri Lanka"/>
    <x v="18"/>
    <s v="Ms Lazaro Ignacio Ros Fernandez - Matamoros"/>
    <s v="belenrosv@gmail.com"/>
    <d v="2019-11-04T00:00:00"/>
    <d v="2020-01-01T00:00:00"/>
    <d v="2020-01-11T00:00:00"/>
    <n v="10"/>
    <s v="USD"/>
    <n v="13537.32"/>
    <m/>
    <x v="5"/>
    <x v="2"/>
    <n v="13537.32"/>
  </r>
  <r>
    <n v="612"/>
    <s v="SLIS201911812"/>
    <x v="1"/>
    <x v="9"/>
    <x v="19"/>
    <s v="United States of America"/>
    <s v="Sri Lanka"/>
    <x v="0"/>
    <s v="Ms Lori  Vaerewyck"/>
    <m/>
    <d v="2019-11-04T00:00:00"/>
    <d v="2019-11-16T00:00:00"/>
    <d v="2019-11-30T00:00:00"/>
    <n v="14"/>
    <s v="USD"/>
    <n v="3050.01"/>
    <m/>
    <x v="6"/>
    <x v="4"/>
    <n v="3050.01"/>
  </r>
  <r>
    <n v="613"/>
    <s v="RDT201911811"/>
    <x v="0"/>
    <x v="9"/>
    <x v="19"/>
    <s v="United Kingdom"/>
    <s v="Sri Lanka"/>
    <x v="1"/>
    <s v="Mrs Amisha De Zoysa"/>
    <m/>
    <d v="2019-11-04T00:00:00"/>
    <d v="2019-12-26T00:00:00"/>
    <d v="2019-12-29T00:00:00"/>
    <n v="3"/>
    <s v="USD"/>
    <n v="780"/>
    <m/>
    <x v="6"/>
    <x v="3"/>
    <n v="780"/>
  </r>
  <r>
    <n v="614"/>
    <s v="SLIS201910799"/>
    <x v="1"/>
    <x v="9"/>
    <x v="23"/>
    <s v="Canada"/>
    <s v="Sri Lanka"/>
    <x v="5"/>
    <s v="Mrs Gulnar Rahemtulla"/>
    <m/>
    <d v="2019-10-31T00:00:00"/>
    <d v="2019-12-01T00:00:00"/>
    <d v="2019-12-22T00:00:00"/>
    <n v="21"/>
    <s v="USD"/>
    <n v="20360.47"/>
    <m/>
    <x v="6"/>
    <x v="3"/>
    <n v="20360.47"/>
  </r>
  <r>
    <n v="615"/>
    <s v="RDT201910796"/>
    <x v="0"/>
    <x v="9"/>
    <x v="4"/>
    <s v="United Kingdom"/>
    <s v="Sri Lanka"/>
    <x v="9"/>
    <s v="Mr Rashid Mansoor"/>
    <s v="rlinfinity@gmail.com"/>
    <d v="2019-10-31T00:00:00"/>
    <d v="2020-02-07T00:00:00"/>
    <d v="2020-02-23T00:00:00"/>
    <n v="16"/>
    <s v="GBP"/>
    <n v="4393.01"/>
    <m/>
    <x v="5"/>
    <x v="1"/>
    <n v="4393.01"/>
  </r>
  <r>
    <n v="616"/>
    <s v="SLIS201910795"/>
    <x v="1"/>
    <x v="9"/>
    <x v="27"/>
    <s v="Chile"/>
    <s v="Sri Lanka"/>
    <x v="34"/>
    <s v="Mr Edgardo Von Schroeders"/>
    <m/>
    <d v="2019-10-31T00:00:00"/>
    <d v="2019-12-21T00:00:00"/>
    <d v="2020-01-20T00:00:00"/>
    <n v="30"/>
    <s v="USD"/>
    <n v="2369.87"/>
    <m/>
    <x v="6"/>
    <x v="3"/>
    <n v="2369.87"/>
  </r>
  <r>
    <n v="617"/>
    <s v="SLIS201910794"/>
    <x v="1"/>
    <x v="9"/>
    <x v="3"/>
    <s v="Australia"/>
    <s v="Sri Lanka"/>
    <x v="2"/>
    <s v="Mr Toni Webber"/>
    <s v="info@mrpaisleys.com.au"/>
    <d v="2019-10-31T00:00:00"/>
    <d v="2019-12-23T00:00:00"/>
    <d v="2020-01-05T00:00:00"/>
    <n v="13"/>
    <s v="USD"/>
    <n v="935"/>
    <m/>
    <x v="6"/>
    <x v="3"/>
    <n v="935"/>
  </r>
  <r>
    <n v="618"/>
    <s v="RDT201910793"/>
    <x v="0"/>
    <x v="9"/>
    <x v="15"/>
    <s v="United Kingdom"/>
    <s v="Sri Lanka"/>
    <x v="1"/>
    <s v="Mr Michael Galloway"/>
    <s v="kamil_latorre@hotmail.co.uk,michael.galloway@btinternet.com"/>
    <d v="2019-10-31T00:00:00"/>
    <d v="2020-02-01T00:00:00"/>
    <d v="2020-04-21T00:00:00"/>
    <n v="80"/>
    <s v="USD"/>
    <n v="384"/>
    <m/>
    <x v="5"/>
    <x v="1"/>
    <n v="384"/>
  </r>
  <r>
    <n v="619"/>
    <s v="RDT201910786"/>
    <x v="0"/>
    <x v="9"/>
    <x v="19"/>
    <s v="United Kingdom"/>
    <s v="Sri Lanka"/>
    <x v="1"/>
    <s v="Mrs Ann  Horwitz"/>
    <m/>
    <d v="2019-10-31T00:00:00"/>
    <d v="2020-01-22T00:00:00"/>
    <d v="2020-02-12T00:00:00"/>
    <n v="21"/>
    <s v="USD"/>
    <n v="8995.02"/>
    <m/>
    <x v="5"/>
    <x v="2"/>
    <n v="8995.02"/>
  </r>
  <r>
    <n v="620"/>
    <s v="RDT201910780"/>
    <x v="0"/>
    <x v="9"/>
    <x v="3"/>
    <s v="United Kingdom"/>
    <s v="Sri Lanka"/>
    <x v="1"/>
    <s v="Ms Denise Pearson"/>
    <s v="deni06baa@gmail.com"/>
    <d v="2019-10-28T00:00:00"/>
    <d v="2020-02-02T00:00:00"/>
    <d v="2020-02-18T00:00:00"/>
    <n v="16"/>
    <s v="USD"/>
    <n v="2668.03"/>
    <m/>
    <x v="5"/>
    <x v="1"/>
    <n v="2668.03"/>
  </r>
  <r>
    <n v="621"/>
    <s v="SLIS201910778"/>
    <x v="1"/>
    <x v="9"/>
    <x v="3"/>
    <s v="Argentina"/>
    <s v="Sri Lanka"/>
    <x v="29"/>
    <s v="Mr Tomas Kenny"/>
    <s v="kennytomas@gmail.com"/>
    <d v="2019-10-28T00:00:00"/>
    <d v="2020-01-03T00:00:00"/>
    <d v="2020-01-08T00:00:00"/>
    <n v="5"/>
    <s v="USD"/>
    <n v="2102"/>
    <m/>
    <x v="5"/>
    <x v="2"/>
    <n v="2102"/>
  </r>
  <r>
    <n v="622"/>
    <s v="RDT201910777"/>
    <x v="0"/>
    <x v="9"/>
    <x v="4"/>
    <s v="United Kingdom"/>
    <s v="Sri Lanka"/>
    <x v="1"/>
    <s v="Mrs Georgina  Hirdaramani"/>
    <s v="georginahirdaramani@yahoo.co.uk"/>
    <d v="2019-10-26T00:00:00"/>
    <d v="2020-02-05T00:00:00"/>
    <d v="2020-02-15T00:00:00"/>
    <n v="10"/>
    <s v="USD"/>
    <n v="16126.25"/>
    <m/>
    <x v="5"/>
    <x v="1"/>
    <n v="16126.25"/>
  </r>
  <r>
    <n v="623"/>
    <s v="RDT201910775"/>
    <x v="0"/>
    <x v="9"/>
    <x v="3"/>
    <s v="Bahrain"/>
    <s v="Sri Lanka"/>
    <x v="0"/>
    <s v="Mrs Marrianna Booker"/>
    <s v="marrianab@yahoo.com"/>
    <d v="2019-10-25T00:00:00"/>
    <d v="2019-12-30T00:00:00"/>
    <d v="2020-01-02T00:00:00"/>
    <n v="3"/>
    <s v="USD"/>
    <n v="5586"/>
    <m/>
    <x v="6"/>
    <x v="3"/>
    <n v="5586"/>
  </r>
  <r>
    <n v="624"/>
    <s v="RDT201910774"/>
    <x v="0"/>
    <x v="9"/>
    <x v="4"/>
    <s v="United Kingdom"/>
    <s v="Sri Lanka"/>
    <x v="1"/>
    <s v="Mrs Belinda Mary Laffling"/>
    <s v="lafflings@gmail.com"/>
    <d v="2019-10-25T00:00:00"/>
    <d v="2020-01-18T00:00:00"/>
    <d v="2020-02-04T00:00:00"/>
    <n v="17"/>
    <s v="GBP"/>
    <n v="3697"/>
    <m/>
    <x v="5"/>
    <x v="2"/>
    <n v="3697"/>
  </r>
  <r>
    <n v="625"/>
    <s v="SLIS201910772"/>
    <x v="1"/>
    <x v="9"/>
    <x v="10"/>
    <s v="Spain"/>
    <s v="Sri Lanka"/>
    <x v="18"/>
    <s v="Mr Rafael de la Torre Santana"/>
    <s v="rafa@srilankainstyle.com"/>
    <d v="2019-10-24T00:00:00"/>
    <d v="2019-11-15T00:00:00"/>
    <d v="2019-11-29T00:00:00"/>
    <n v="14"/>
    <s v="USD"/>
    <n v="0"/>
    <m/>
    <x v="6"/>
    <x v="4"/>
    <n v="0"/>
  </r>
  <r>
    <n v="626"/>
    <s v="RDT201910764"/>
    <x v="0"/>
    <x v="9"/>
    <x v="26"/>
    <s v="Saudi Arabia"/>
    <s v="Sri Lanka"/>
    <x v="46"/>
    <s v="Mr Nasir Ahmed"/>
    <m/>
    <d v="2019-10-22T00:00:00"/>
    <d v="2019-08-07T00:00:00"/>
    <d v="2019-08-09T00:00:00"/>
    <n v="2"/>
    <s v="USD"/>
    <n v="516.01"/>
    <m/>
    <x v="6"/>
    <x v="7"/>
    <n v="516.01"/>
  </r>
  <r>
    <n v="627"/>
    <s v="RDT201910759"/>
    <x v="0"/>
    <x v="9"/>
    <x v="4"/>
    <s v="United Kingdom"/>
    <s v="Sri Lanka"/>
    <x v="1"/>
    <s v="Ms Valerie Ann  Hawkin"/>
    <s v="Val.hawkin@btinternet.com"/>
    <d v="2019-10-21T00:00:00"/>
    <d v="2019-12-15T00:00:00"/>
    <d v="2020-01-11T00:00:00"/>
    <n v="27"/>
    <s v="GBP"/>
    <n v="4883.04"/>
    <m/>
    <x v="6"/>
    <x v="3"/>
    <n v="4883.04"/>
  </r>
  <r>
    <n v="628"/>
    <s v="RDT201910757"/>
    <x v="0"/>
    <x v="9"/>
    <x v="4"/>
    <s v="United States of America"/>
    <s v="Sri Lanka"/>
    <x v="0"/>
    <s v="Mr Joe Kenneth Jackson"/>
    <s v="ken@jkjackson.com"/>
    <d v="2019-10-21T00:00:00"/>
    <d v="2020-02-16T00:00:00"/>
    <d v="2020-02-29T00:00:00"/>
    <n v="13"/>
    <s v="USD"/>
    <n v="4150"/>
    <m/>
    <x v="5"/>
    <x v="1"/>
    <n v="4150"/>
  </r>
  <r>
    <n v="629"/>
    <s v="SLIS201910753"/>
    <x v="1"/>
    <x v="9"/>
    <x v="3"/>
    <s v="Australia"/>
    <s v="Sri Lanka"/>
    <x v="2"/>
    <s v="Mr Philip Males"/>
    <s v="psmales@hotmail.com"/>
    <d v="2019-10-19T00:00:00"/>
    <d v="2020-03-04T00:00:00"/>
    <d v="2020-03-27T00:00:00"/>
    <n v="23"/>
    <s v="USD"/>
    <n v="4818.76"/>
    <m/>
    <x v="5"/>
    <x v="0"/>
    <n v="4818.76"/>
  </r>
  <r>
    <n v="630"/>
    <s v="SLIS201910748"/>
    <x v="1"/>
    <x v="9"/>
    <x v="15"/>
    <s v="Spain"/>
    <s v="Sri Lanka"/>
    <x v="18"/>
    <s v="Mr Roberto Cunat"/>
    <m/>
    <d v="2019-10-18T00:00:00"/>
    <d v="2019-10-20T00:00:00"/>
    <d v="2019-11-04T00:00:00"/>
    <n v="15"/>
    <s v="USD"/>
    <n v="500.44"/>
    <m/>
    <x v="6"/>
    <x v="5"/>
    <n v="500.44"/>
  </r>
  <r>
    <n v="631"/>
    <s v="SLIS201910746"/>
    <x v="1"/>
    <x v="9"/>
    <x v="3"/>
    <s v="Singapore"/>
    <s v="Sri Lanka"/>
    <x v="1"/>
    <s v="Mr Gautam Hazarika"/>
    <s v="ghazarika70@yahoo.com.sg"/>
    <d v="2019-10-18T00:00:00"/>
    <d v="2019-12-30T00:00:00"/>
    <d v="2020-01-04T00:00:00"/>
    <n v="5"/>
    <s v="USD"/>
    <n v="5954"/>
    <m/>
    <x v="6"/>
    <x v="3"/>
    <n v="5954"/>
  </r>
  <r>
    <n v="632"/>
    <s v="RDT201910744"/>
    <x v="0"/>
    <x v="9"/>
    <x v="14"/>
    <s v="United Kingdom"/>
    <s v="Sri Lanka"/>
    <x v="1"/>
    <s v="Mr John Alexander Charles  Morton"/>
    <s v="johnacmorton@gmail.com"/>
    <d v="2019-10-17T00:00:00"/>
    <d v="2019-11-10T00:00:00"/>
    <d v="2019-11-10T00:00:00"/>
    <n v="0"/>
    <s v="USD"/>
    <n v="2430"/>
    <m/>
    <x v="6"/>
    <x v="4"/>
    <n v="2430"/>
  </r>
  <r>
    <n v="633"/>
    <s v="RDT201910732"/>
    <x v="0"/>
    <x v="9"/>
    <x v="4"/>
    <s v="United Kingdom"/>
    <s v="Sri Lanka"/>
    <x v="1"/>
    <s v="Ms Charlotte  O’Hegarty"/>
    <s v="ScoopsRO@outlook.com"/>
    <d v="2019-10-15T00:00:00"/>
    <d v="2020-01-12T00:00:00"/>
    <d v="2020-01-27T00:00:00"/>
    <n v="15"/>
    <s v="GBP"/>
    <n v="6097.04"/>
    <m/>
    <x v="5"/>
    <x v="2"/>
    <n v="6097.04"/>
  </r>
  <r>
    <n v="634"/>
    <s v="SLIS201910731"/>
    <x v="1"/>
    <x v="9"/>
    <x v="28"/>
    <s v="United Kingdom"/>
    <s v="Sri Lanka"/>
    <x v="1"/>
    <s v="Ms Chelsea Duce"/>
    <s v="cmd4289@my.acm.ac.uk"/>
    <d v="2019-10-15T00:00:00"/>
    <d v="2019-12-18T00:00:00"/>
    <d v="2019-12-23T00:00:00"/>
    <n v="5"/>
    <s v="USD"/>
    <n v="445"/>
    <m/>
    <x v="6"/>
    <x v="3"/>
    <n v="445"/>
  </r>
  <r>
    <n v="635"/>
    <s v="SLIS201910729"/>
    <x v="1"/>
    <x v="9"/>
    <x v="3"/>
    <s v="United States of America"/>
    <s v="Sri Lanka"/>
    <x v="0"/>
    <s v="Mrs Marcie Kohenak"/>
    <s v="mkohenak@gmail.com"/>
    <d v="2019-10-14T00:00:00"/>
    <d v="2020-01-19T00:00:00"/>
    <d v="2020-02-02T00:00:00"/>
    <n v="14"/>
    <s v="USD"/>
    <n v="18299.990000000002"/>
    <m/>
    <x v="5"/>
    <x v="2"/>
    <n v="18299.990000000002"/>
  </r>
  <r>
    <n v="636"/>
    <s v="SLIS201910720"/>
    <x v="1"/>
    <x v="9"/>
    <x v="3"/>
    <s v="Australia"/>
    <s v="Sri Lanka"/>
    <x v="2"/>
    <s v="Ms Amanda Pfeiffer"/>
    <s v="bizwiz.group@bigpond.com"/>
    <d v="2019-10-11T00:00:00"/>
    <d v="2019-10-20T00:00:00"/>
    <d v="2019-10-26T00:00:00"/>
    <n v="6"/>
    <s v="USD"/>
    <n v="1722.27"/>
    <m/>
    <x v="6"/>
    <x v="5"/>
    <n v="1722.27"/>
  </r>
  <r>
    <n v="637"/>
    <s v="RDT201910715"/>
    <x v="0"/>
    <x v="9"/>
    <x v="4"/>
    <s v="Australia"/>
    <s v="Sri Lanka"/>
    <x v="2"/>
    <s v="Mr Anthony David Smith"/>
    <s v="tonysmive@hotmail.com"/>
    <d v="2019-10-10T00:00:00"/>
    <d v="2019-11-10T00:00:00"/>
    <d v="2019-11-23T00:00:00"/>
    <n v="13"/>
    <s v="USD"/>
    <n v="4750.01"/>
    <m/>
    <x v="6"/>
    <x v="4"/>
    <n v="4750.01"/>
  </r>
  <r>
    <n v="638"/>
    <s v="SLIS201910709"/>
    <x v="1"/>
    <x v="9"/>
    <x v="22"/>
    <s v="Australia"/>
    <s v="Sri Lanka"/>
    <x v="2"/>
    <s v="Mr Peter Harry  Edmonds"/>
    <s v="Peter Edmonds &lt;pedmonds@senet.com.au&gt;"/>
    <d v="2019-10-07T00:00:00"/>
    <d v="2020-02-02T00:00:00"/>
    <d v="2020-02-22T00:00:00"/>
    <n v="20"/>
    <s v="USD"/>
    <n v="11435"/>
    <m/>
    <x v="5"/>
    <x v="1"/>
    <n v="11435"/>
  </r>
  <r>
    <n v="639"/>
    <s v="RDT201910698"/>
    <x v="0"/>
    <x v="9"/>
    <x v="18"/>
    <s v="Switzerland"/>
    <s v="Sri Lanka"/>
    <x v="21"/>
    <s v="Mr Martin Emil Brodbeck"/>
    <s v="martin.e.brodbeck@gmail.com"/>
    <d v="2019-10-02T00:00:00"/>
    <d v="2020-01-17T00:00:00"/>
    <d v="2020-02-02T00:00:00"/>
    <n v="16"/>
    <s v="USD"/>
    <n v="7536.03"/>
    <m/>
    <x v="5"/>
    <x v="2"/>
    <n v="7536.03"/>
  </r>
  <r>
    <n v="640"/>
    <s v="RDT201910696"/>
    <x v="0"/>
    <x v="9"/>
    <x v="19"/>
    <s v="Sri Lanka"/>
    <s v="Sri Lanka"/>
    <x v="9"/>
    <s v="Mr Dilanke  Panagoda"/>
    <m/>
    <d v="2019-10-02T00:00:00"/>
    <d v="2019-10-03T00:00:00"/>
    <d v="2019-10-04T00:00:00"/>
    <n v="1"/>
    <s v="USD"/>
    <n v="0"/>
    <m/>
    <x v="6"/>
    <x v="5"/>
    <n v="0"/>
  </r>
  <r>
    <n v="641"/>
    <s v="RDT201910695"/>
    <x v="0"/>
    <x v="9"/>
    <x v="18"/>
    <s v="United Kingdom"/>
    <s v="Sri Lanka"/>
    <x v="1"/>
    <s v="Mr Matthew Redfern"/>
    <s v="mpredfern@googlemail.com"/>
    <d v="2019-10-02T00:00:00"/>
    <d v="2019-10-05T00:00:00"/>
    <d v="2019-10-19T00:00:00"/>
    <n v="14"/>
    <s v="USD"/>
    <n v="3491.93"/>
    <m/>
    <x v="6"/>
    <x v="5"/>
    <n v="3491.93"/>
  </r>
  <r>
    <n v="642"/>
    <s v="RDT201910689"/>
    <x v="0"/>
    <x v="9"/>
    <x v="19"/>
    <s v="United Kingdom"/>
    <s v="Sri Lanka"/>
    <x v="1"/>
    <s v="Mrs Jessica Danks"/>
    <s v="Jessica Danks &lt;jessicadanks@hotmail.com&gt;"/>
    <d v="2019-10-01T00:00:00"/>
    <d v="2019-11-24T00:00:00"/>
    <d v="2019-12-06T00:00:00"/>
    <n v="12"/>
    <s v="USD"/>
    <n v="6390"/>
    <m/>
    <x v="6"/>
    <x v="4"/>
    <n v="6390"/>
  </r>
  <r>
    <n v="643"/>
    <s v="RDT201909682"/>
    <x v="0"/>
    <x v="9"/>
    <x v="15"/>
    <s v="Sri Lanka"/>
    <s v="Sri Lanka"/>
    <x v="9"/>
    <s v="Mr Kiran Mediwake"/>
    <s v="kgmaviates@gmail.com"/>
    <d v="2019-09-29T00:00:00"/>
    <d v="2019-11-07T00:00:00"/>
    <d v="2019-11-15T00:00:00"/>
    <n v="8"/>
    <s v="USD"/>
    <n v="698"/>
    <m/>
    <x v="6"/>
    <x v="4"/>
    <n v="698"/>
  </r>
  <r>
    <n v="644"/>
    <s v="RDT201909674"/>
    <x v="0"/>
    <x v="9"/>
    <x v="2"/>
    <s v="Austria"/>
    <s v="Sri Lanka"/>
    <x v="26"/>
    <s v="Mr Helmut Leonhartsberger"/>
    <s v="leo.berger@gmx.at"/>
    <d v="2019-09-25T00:00:00"/>
    <d v="2019-12-22T00:00:00"/>
    <d v="2019-12-29T00:00:00"/>
    <n v="7"/>
    <s v="USD"/>
    <n v="666.58"/>
    <m/>
    <x v="6"/>
    <x v="3"/>
    <n v="666.58"/>
  </r>
  <r>
    <n v="645"/>
    <s v="RDT201909673"/>
    <x v="0"/>
    <x v="9"/>
    <x v="4"/>
    <s v="Australia"/>
    <s v="Sri Lanka"/>
    <x v="1"/>
    <s v="Ms Louise Thomson"/>
    <n v="413295889"/>
    <d v="2019-09-24T00:00:00"/>
    <d v="2019-12-20T00:00:00"/>
    <d v="2019-12-29T00:00:00"/>
    <n v="9"/>
    <s v="USD"/>
    <n v="2695"/>
    <m/>
    <x v="6"/>
    <x v="3"/>
    <n v="2695"/>
  </r>
  <r>
    <n v="646"/>
    <s v="RDT201909670"/>
    <x v="0"/>
    <x v="9"/>
    <x v="19"/>
    <s v="India"/>
    <s v="Sri Lanka"/>
    <x v="12"/>
    <s v="Ms Pia  Rampal"/>
    <s v="piarampal@gmail.com"/>
    <d v="2019-09-23T00:00:00"/>
    <d v="2019-09-25T00:00:00"/>
    <d v="2019-09-27T00:00:00"/>
    <n v="2"/>
    <s v="USD"/>
    <n v="545.59"/>
    <m/>
    <x v="6"/>
    <x v="6"/>
    <n v="545.59"/>
  </r>
  <r>
    <n v="647"/>
    <s v="SLIS201909668"/>
    <x v="1"/>
    <x v="9"/>
    <x v="19"/>
    <s v="Singapore"/>
    <s v="Sri Lanka"/>
    <x v="4"/>
    <s v="Mrs Mrs Ten"/>
    <m/>
    <d v="2019-09-23T00:00:00"/>
    <d v="2019-09-24T00:00:00"/>
    <d v="2019-09-24T00:00:00"/>
    <n v="0"/>
    <s v="USD"/>
    <n v="120"/>
    <m/>
    <x v="6"/>
    <x v="6"/>
    <n v="120"/>
  </r>
  <r>
    <n v="648"/>
    <s v="RDT201909661"/>
    <x v="0"/>
    <x v="9"/>
    <x v="18"/>
    <s v="South Africa"/>
    <s v="Sri Lanka"/>
    <x v="30"/>
    <s v="Mrs Muriel Doherty"/>
    <s v="muriel.jack@iafrica.com"/>
    <d v="2019-09-20T00:00:00"/>
    <d v="2020-01-09T00:00:00"/>
    <d v="2020-01-18T00:00:00"/>
    <n v="9"/>
    <s v="USD"/>
    <n v="2808.83"/>
    <m/>
    <x v="5"/>
    <x v="2"/>
    <n v="2808.83"/>
  </r>
  <r>
    <n v="649"/>
    <s v="SLIS201909656"/>
    <x v="1"/>
    <x v="9"/>
    <x v="3"/>
    <s v="Australia"/>
    <s v="Sri Lanka"/>
    <x v="2"/>
    <s v="Mrs MIchelle Vienet"/>
    <s v="vienetg@bigpond.com"/>
    <d v="2019-09-19T00:00:00"/>
    <d v="2019-10-07T00:00:00"/>
    <d v="2019-10-14T00:00:00"/>
    <n v="7"/>
    <s v="USD"/>
    <n v="760"/>
    <m/>
    <x v="6"/>
    <x v="5"/>
    <n v="760"/>
  </r>
  <r>
    <n v="650"/>
    <s v="RDT201909654"/>
    <x v="0"/>
    <x v="9"/>
    <x v="15"/>
    <s v="Sri Lanka"/>
    <s v="Sri Lanka"/>
    <x v="9"/>
    <s v="Mr Prasanna .De. Mel"/>
    <s v="Prasanna.De.Mel@sony.com"/>
    <d v="2019-09-19T00:00:00"/>
    <d v="2019-09-29T00:00:00"/>
    <d v="2019-10-05T00:00:00"/>
    <n v="6"/>
    <s v="USD"/>
    <n v="300"/>
    <m/>
    <x v="6"/>
    <x v="6"/>
    <n v="300"/>
  </r>
  <r>
    <n v="651"/>
    <s v="RDT201909648"/>
    <x v="0"/>
    <x v="9"/>
    <x v="18"/>
    <s v="United Kingdom"/>
    <s v="Sri Lanka"/>
    <x v="1"/>
    <s v="Mrs Sarah Murphy"/>
    <s v="mrssarahmurphy@hotmail.com"/>
    <d v="2019-09-17T00:00:00"/>
    <d v="2019-10-12T00:00:00"/>
    <d v="2019-10-13T00:00:00"/>
    <n v="1"/>
    <s v="USD"/>
    <n v="432.05"/>
    <m/>
    <x v="6"/>
    <x v="5"/>
    <n v="432.05"/>
  </r>
  <r>
    <n v="652"/>
    <s v="SLIS201909643"/>
    <x v="1"/>
    <x v="9"/>
    <x v="3"/>
    <s v="United States of America"/>
    <s v="Sri Lanka"/>
    <x v="0"/>
    <s v="Mr David Simins"/>
    <s v="David.simins@gmail.com"/>
    <d v="2019-09-16T00:00:00"/>
    <d v="2020-03-08T00:00:00"/>
    <d v="2020-03-15T00:00:00"/>
    <n v="7"/>
    <s v="USD"/>
    <n v="9540.68"/>
    <m/>
    <x v="5"/>
    <x v="0"/>
    <n v="9540.68"/>
  </r>
  <r>
    <n v="653"/>
    <s v="RDT201909640"/>
    <x v="0"/>
    <x v="9"/>
    <x v="4"/>
    <s v="United Kingdom"/>
    <s v="Sri Lanka"/>
    <x v="1"/>
    <s v="Ms Alice Alexandra Milnes Hopkinson"/>
    <s v="alice.hopkinson@gmail.com"/>
    <d v="2019-09-16T00:00:00"/>
    <d v="2019-10-04T00:00:00"/>
    <d v="2019-10-11T00:00:00"/>
    <n v="7"/>
    <s v="USD"/>
    <n v="472"/>
    <m/>
    <x v="6"/>
    <x v="5"/>
    <n v="472"/>
  </r>
  <r>
    <n v="654"/>
    <s v="SLIS201909638"/>
    <x v="1"/>
    <x v="9"/>
    <x v="2"/>
    <s v="United States of America"/>
    <s v="Sri Lanka"/>
    <x v="0"/>
    <s v="Mrs Sandra Breakstone"/>
    <s v="sandebell@aol.com"/>
    <d v="2019-09-14T00:00:00"/>
    <d v="2020-02-08T00:00:00"/>
    <d v="2020-02-16T00:00:00"/>
    <n v="8"/>
    <s v="USD"/>
    <n v="10668.86"/>
    <m/>
    <x v="5"/>
    <x v="1"/>
    <n v="10668.86"/>
  </r>
  <r>
    <n v="655"/>
    <s v="RDT201909637"/>
    <x v="0"/>
    <x v="9"/>
    <x v="18"/>
    <s v="United Kingdom"/>
    <s v="Sri Lanka"/>
    <x v="1"/>
    <s v="Mr Sally Elizabeth Stenning"/>
    <s v="s.stenning@btconnect.com"/>
    <d v="2019-09-11T00:00:00"/>
    <d v="2020-01-19T00:00:00"/>
    <d v="2020-02-06T00:00:00"/>
    <n v="18"/>
    <s v="GBP"/>
    <n v="5424.01"/>
    <m/>
    <x v="5"/>
    <x v="2"/>
    <n v="5424.01"/>
  </r>
  <r>
    <n v="656"/>
    <s v="RDT201909634"/>
    <x v="0"/>
    <x v="9"/>
    <x v="4"/>
    <s v="United Kingdom"/>
    <s v="Sri Lanka"/>
    <x v="1"/>
    <s v="Mr Dr Robert William Howlett"/>
    <s v="robhowlett@me.com"/>
    <d v="2019-09-10T00:00:00"/>
    <d v="2020-02-16T00:00:00"/>
    <d v="2020-02-29T00:00:00"/>
    <n v="13"/>
    <s v="USD"/>
    <n v="1529"/>
    <m/>
    <x v="5"/>
    <x v="1"/>
    <n v="1529"/>
  </r>
  <r>
    <n v="657"/>
    <s v="RDT201909631"/>
    <x v="0"/>
    <x v="9"/>
    <x v="20"/>
    <s v="Australia"/>
    <s v="Sri Lanka"/>
    <x v="2"/>
    <s v="Ms Kelly AC"/>
    <s v="kellymayac@gmail.com"/>
    <d v="2019-09-09T00:00:00"/>
    <d v="2019-09-18T00:00:00"/>
    <d v="2019-09-21T00:00:00"/>
    <n v="3"/>
    <s v="USD"/>
    <n v="384.68"/>
    <m/>
    <x v="6"/>
    <x v="6"/>
    <n v="384.68"/>
  </r>
  <r>
    <n v="658"/>
    <s v="RDT201909624"/>
    <x v="0"/>
    <x v="9"/>
    <x v="18"/>
    <s v="Australia"/>
    <s v="Sri Lanka"/>
    <x v="2"/>
    <s v="Mr Gilles Bruno VIEILLARD"/>
    <s v="gilles_vieillard@yahoo.co.uk"/>
    <d v="2019-09-04T00:00:00"/>
    <d v="2019-12-20T00:00:00"/>
    <d v="2020-01-04T00:00:00"/>
    <n v="15"/>
    <s v="USD"/>
    <n v="4598.17"/>
    <m/>
    <x v="6"/>
    <x v="3"/>
    <n v="4598.17"/>
  </r>
  <r>
    <n v="659"/>
    <s v="RDT201909623"/>
    <x v="0"/>
    <x v="9"/>
    <x v="4"/>
    <s v="United Kingdom"/>
    <s v="Sri Lanka"/>
    <x v="1"/>
    <s v="Mr John  Proctor"/>
    <s v="charlie@austin-management.com"/>
    <d v="2019-09-04T00:00:00"/>
    <d v="2020-02-28T00:00:00"/>
    <d v="2020-03-11T00:00:00"/>
    <n v="12"/>
    <s v="USD"/>
    <n v="1770.02"/>
    <m/>
    <x v="5"/>
    <x v="1"/>
    <n v="1770.02"/>
  </r>
  <r>
    <n v="660"/>
    <s v="SLIS201909621"/>
    <x v="1"/>
    <x v="9"/>
    <x v="10"/>
    <s v="Spain"/>
    <s v="Sri Lanka"/>
    <x v="18"/>
    <s v="Mr Manuel Diez Bustamante"/>
    <s v="laura.sanchez@pangea.es"/>
    <d v="2019-09-03T00:00:00"/>
    <d v="2019-09-17T00:00:00"/>
    <d v="2019-09-26T00:00:00"/>
    <n v="9"/>
    <s v="USD"/>
    <n v="3068.74"/>
    <m/>
    <x v="6"/>
    <x v="6"/>
    <n v="3068.74"/>
  </r>
  <r>
    <n v="661"/>
    <s v="RDT201909619"/>
    <x v="0"/>
    <x v="9"/>
    <x v="4"/>
    <s v="United Kingdom"/>
    <s v="Sri Lanka"/>
    <x v="1"/>
    <s v="Mr Andrew Hilton Hutchinson"/>
    <s v="twogomadindorset@gmail.com"/>
    <d v="2019-09-03T00:00:00"/>
    <d v="2020-02-05T00:00:00"/>
    <d v="2020-02-25T00:00:00"/>
    <n v="20"/>
    <s v="GBP"/>
    <n v="4708"/>
    <m/>
    <x v="5"/>
    <x v="1"/>
    <n v="4708"/>
  </r>
  <r>
    <n v="662"/>
    <s v="RDT201909616"/>
    <x v="0"/>
    <x v="9"/>
    <x v="18"/>
    <s v="Sri Lanka"/>
    <s v="Sri Lanka"/>
    <x v="9"/>
    <s v="Mr Subbu Eassuwaren"/>
    <s v="nathanpriya@gmail.com"/>
    <d v="2019-09-02T00:00:00"/>
    <d v="2019-11-01T00:00:00"/>
    <d v="2019-11-03T00:00:00"/>
    <n v="2"/>
    <s v="LKR"/>
    <n v="243000"/>
    <m/>
    <x v="6"/>
    <x v="4"/>
    <n v="243000"/>
  </r>
  <r>
    <n v="663"/>
    <s v="RDT201909614"/>
    <x v="0"/>
    <x v="9"/>
    <x v="18"/>
    <s v="Australia"/>
    <s v="Sri Lanka"/>
    <x v="2"/>
    <s v="Ms Helen Maynard"/>
    <s v="helen_maynard@hotmail.com"/>
    <d v="2019-09-02T00:00:00"/>
    <d v="2019-09-26T00:00:00"/>
    <d v="2019-10-09T00:00:00"/>
    <n v="13"/>
    <s v="USD"/>
    <n v="2564.42"/>
    <m/>
    <x v="6"/>
    <x v="6"/>
    <n v="2564.42"/>
  </r>
  <r>
    <n v="664"/>
    <s v="RDT201909610"/>
    <x v="0"/>
    <x v="9"/>
    <x v="20"/>
    <s v="Australia"/>
    <s v="Sri Lanka"/>
    <x v="2"/>
    <s v="Ms Shani Kugen"/>
    <s v="shanikugen@gmail.com"/>
    <d v="2019-09-02T00:00:00"/>
    <d v="2019-11-30T00:00:00"/>
    <d v="2019-12-14T00:00:00"/>
    <n v="14"/>
    <s v="USD"/>
    <n v="5056.3500000000004"/>
    <m/>
    <x v="6"/>
    <x v="4"/>
    <n v="5056.3500000000004"/>
  </r>
  <r>
    <n v="665"/>
    <s v="RDT201909608"/>
    <x v="0"/>
    <x v="9"/>
    <x v="4"/>
    <s v="Australia"/>
    <s v="Sri Lanka"/>
    <x v="2"/>
    <s v="Ms Arrainya  Fernando"/>
    <s v="deepaf@optusnet.com.au"/>
    <d v="2019-09-01T00:00:00"/>
    <d v="2019-12-29T00:00:00"/>
    <d v="2019-12-30T00:00:00"/>
    <n v="1"/>
    <s v="USD"/>
    <n v="1163.06"/>
    <m/>
    <x v="6"/>
    <x v="3"/>
    <n v="1163.06"/>
  </r>
  <r>
    <n v="666"/>
    <s v="RDT201908607"/>
    <x v="0"/>
    <x v="9"/>
    <x v="4"/>
    <s v="United States of America"/>
    <s v="India"/>
    <x v="0"/>
    <s v="Ms Avi  Ivan"/>
    <s v="Avilax@aol.com"/>
    <d v="2019-08-30T00:00:00"/>
    <d v="2019-10-24T00:00:00"/>
    <d v="2019-10-24T00:00:00"/>
    <n v="0"/>
    <s v="USD"/>
    <n v="1312"/>
    <m/>
    <x v="6"/>
    <x v="5"/>
    <n v="1312"/>
  </r>
  <r>
    <n v="667"/>
    <s v="SLIS201908605"/>
    <x v="1"/>
    <x v="9"/>
    <x v="29"/>
    <s v="Spain"/>
    <s v="Sri Lanka"/>
    <x v="18"/>
    <s v="Mr Nuria Lag&amp;eacute; Al&amp;eacute;"/>
    <s v="nlage68@gmail.com"/>
    <d v="2019-08-29T00:00:00"/>
    <d v="2019-11-11T00:00:00"/>
    <d v="2019-11-28T00:00:00"/>
    <n v="17"/>
    <s v="USD"/>
    <n v="12374.62"/>
    <m/>
    <x v="6"/>
    <x v="4"/>
    <n v="12374.62"/>
  </r>
  <r>
    <n v="668"/>
    <s v="RDT201908604"/>
    <x v="0"/>
    <x v="9"/>
    <x v="30"/>
    <s v="Sri Lanka"/>
    <s v="Sri Lanka"/>
    <x v="9"/>
    <s v="Mr Dinesh  de Zoysa"/>
    <s v="amrick@thefabulousgetaway.com"/>
    <d v="2019-08-29T00:00:00"/>
    <d v="2019-08-30T00:00:00"/>
    <d v="2019-09-01T00:00:00"/>
    <n v="2"/>
    <s v="LKR"/>
    <n v="35000"/>
    <m/>
    <x v="6"/>
    <x v="7"/>
    <n v="35000"/>
  </r>
  <r>
    <n v="669"/>
    <s v="RDT201908587"/>
    <x v="0"/>
    <x v="9"/>
    <x v="4"/>
    <s v="United Kingdom"/>
    <s v="Sri Lanka"/>
    <x v="1"/>
    <s v="Mr Ryan Mark Marsden"/>
    <s v="marsden.ryan@gmail.com"/>
    <d v="2019-08-28T00:00:00"/>
    <d v="2019-12-24T00:00:00"/>
    <d v="2020-01-01T00:00:00"/>
    <n v="8"/>
    <s v="USD"/>
    <n v="7373.93"/>
    <m/>
    <x v="6"/>
    <x v="3"/>
    <n v="7373.93"/>
  </r>
  <r>
    <n v="670"/>
    <s v="RDT201908586"/>
    <x v="0"/>
    <x v="9"/>
    <x v="18"/>
    <s v="Sri Lanka"/>
    <s v="Sri Lanka"/>
    <x v="9"/>
    <s v="Mr Kumar Sangakkara"/>
    <s v="dinuk@crystalsands.lk"/>
    <d v="2019-08-28T00:00:00"/>
    <d v="2020-01-10T00:00:00"/>
    <d v="2020-01-12T00:00:00"/>
    <n v="2"/>
    <s v="USD"/>
    <n v="1885.98"/>
    <m/>
    <x v="5"/>
    <x v="2"/>
    <n v="1885.98"/>
  </r>
  <r>
    <n v="671"/>
    <s v="RDT201908580"/>
    <x v="0"/>
    <x v="9"/>
    <x v="4"/>
    <s v="United Kingdom"/>
    <s v="Sri Lanka"/>
    <x v="1"/>
    <s v="Mr David Kenneth Hopps"/>
    <s v="david@thefabulousgetaway.com"/>
    <d v="2019-08-27T00:00:00"/>
    <d v="2020-02-04T00:00:00"/>
    <d v="2020-02-23T00:00:00"/>
    <n v="19"/>
    <s v="USD"/>
    <n v="2189.27"/>
    <m/>
    <x v="5"/>
    <x v="1"/>
    <n v="2189.27"/>
  </r>
  <r>
    <n v="672"/>
    <s v="RDT201908579"/>
    <x v="0"/>
    <x v="9"/>
    <x v="4"/>
    <s v="United Kingdom"/>
    <s v="Sri Lanka"/>
    <x v="1"/>
    <s v="Mr John Robert Macrow"/>
    <s v="jmacrow@hotmail.com"/>
    <d v="2019-08-26T00:00:00"/>
    <d v="2019-12-20T00:00:00"/>
    <d v="2019-12-24T00:00:00"/>
    <n v="4"/>
    <s v="USD"/>
    <n v="295"/>
    <m/>
    <x v="6"/>
    <x v="3"/>
    <n v="295"/>
  </r>
  <r>
    <n v="673"/>
    <s v="SLIS201908575"/>
    <x v="1"/>
    <x v="9"/>
    <x v="26"/>
    <s v="United States of America"/>
    <s v="Sri Lanka"/>
    <x v="0"/>
    <s v="Mr Professor Rick Shine"/>
    <s v="ruchira.somaweera@gmail.com"/>
    <d v="2019-08-22T00:00:00"/>
    <d v="2019-09-21T00:00:00"/>
    <d v="2019-09-29T00:00:00"/>
    <n v="8"/>
    <s v="USD"/>
    <n v="1300"/>
    <m/>
    <x v="6"/>
    <x v="6"/>
    <n v="1300"/>
  </r>
  <r>
    <n v="674"/>
    <s v="RDT201908574"/>
    <x v="0"/>
    <x v="9"/>
    <x v="15"/>
    <s v="United States of America"/>
    <s v="Sri Lanka"/>
    <x v="0"/>
    <s v="Mr JERRY AIYATHURAI"/>
    <s v="TUSKERFORT@GMAIL.COM"/>
    <d v="2019-08-22T00:00:00"/>
    <d v="2019-09-02T00:00:00"/>
    <d v="2019-09-08T00:00:00"/>
    <n v="6"/>
    <s v="USD"/>
    <n v="294"/>
    <m/>
    <x v="6"/>
    <x v="6"/>
    <n v="294"/>
  </r>
  <r>
    <n v="675"/>
    <s v="RDT201908572"/>
    <x v="0"/>
    <x v="9"/>
    <x v="4"/>
    <s v="United Kingdom"/>
    <s v="Sri Lanka"/>
    <x v="1"/>
    <s v="Mr Jeremy Hugh Kennard"/>
    <s v="jeremyhkennard@gmail.com"/>
    <d v="2019-08-21T00:00:00"/>
    <d v="2019-09-16T00:00:00"/>
    <d v="2019-09-24T00:00:00"/>
    <n v="8"/>
    <s v="GBP"/>
    <n v="1976"/>
    <m/>
    <x v="6"/>
    <x v="6"/>
    <n v="1976"/>
  </r>
  <r>
    <n v="676"/>
    <s v="RDT201908568"/>
    <x v="0"/>
    <x v="9"/>
    <x v="18"/>
    <s v="United States of America"/>
    <s v="Sri Lanka"/>
    <x v="0"/>
    <s v="Mr Hilary Smith"/>
    <s v="hpsmith88@gmail.com"/>
    <d v="2019-08-20T00:00:00"/>
    <d v="2019-08-31T00:00:00"/>
    <d v="2019-09-05T00:00:00"/>
    <n v="5"/>
    <s v="USD"/>
    <n v="485"/>
    <m/>
    <x v="6"/>
    <x v="7"/>
    <n v="485"/>
  </r>
  <r>
    <n v="677"/>
    <s v="SLIS201908564"/>
    <x v="1"/>
    <x v="9"/>
    <x v="10"/>
    <s v="Spain"/>
    <s v="Sri Lanka"/>
    <x v="18"/>
    <s v="Mr Cristina Gavin Mart&amp;iacute;n"/>
    <s v="cgavin@its.jnj.com"/>
    <d v="2019-08-19T00:00:00"/>
    <d v="2019-10-01T00:00:00"/>
    <d v="2019-10-15T00:00:00"/>
    <n v="14"/>
    <s v="USD"/>
    <n v="4362.28"/>
    <m/>
    <x v="6"/>
    <x v="5"/>
    <n v="4362.28"/>
  </r>
  <r>
    <n v="678"/>
    <s v="RDT201908534"/>
    <x v="0"/>
    <x v="9"/>
    <x v="20"/>
    <s v="United Kingdom"/>
    <s v="Sri Lanka"/>
    <x v="1"/>
    <s v="Ms Priya Shah"/>
    <s v="priyarshah@gmail.com"/>
    <d v="2019-08-16T00:00:00"/>
    <d v="2019-08-21T00:00:00"/>
    <d v="2019-09-02T00:00:00"/>
    <n v="12"/>
    <s v="USD"/>
    <n v="2972.88"/>
    <m/>
    <x v="6"/>
    <x v="7"/>
    <n v="2972.88"/>
  </r>
  <r>
    <n v="679"/>
    <s v="RDT201908532"/>
    <x v="0"/>
    <x v="9"/>
    <x v="4"/>
    <s v="Germany"/>
    <s v="Sri Lanka"/>
    <x v="7"/>
    <s v="Ms Anjana Rebecca  Das-Hasper"/>
    <s v="anjanarebecca@hotmail.com"/>
    <d v="2019-08-16T00:00:00"/>
    <d v="2019-09-16T00:00:00"/>
    <d v="2019-09-19T00:00:00"/>
    <n v="3"/>
    <s v="USD"/>
    <n v="460.32"/>
    <m/>
    <x v="6"/>
    <x v="6"/>
    <n v="460.32"/>
  </r>
  <r>
    <n v="680"/>
    <s v="SLIS201908528"/>
    <x v="1"/>
    <x v="9"/>
    <x v="13"/>
    <s v="United Kingdom"/>
    <s v="Sri Lanka"/>
    <x v="1"/>
    <s v="Ms Emma Rose Finding"/>
    <s v="emma@thisisbeyond.com"/>
    <d v="2019-08-15T00:00:00"/>
    <d v="2019-12-23T00:00:00"/>
    <d v="2020-01-08T00:00:00"/>
    <n v="16"/>
    <s v="USD"/>
    <n v="5989.02"/>
    <m/>
    <x v="6"/>
    <x v="3"/>
    <n v="5989.02"/>
  </r>
  <r>
    <n v="681"/>
    <s v="SLIS201908527"/>
    <x v="1"/>
    <x v="9"/>
    <x v="22"/>
    <s v="United States of America"/>
    <s v="Sri Lanka"/>
    <x v="0"/>
    <s v="Ms Jacqueline Grace Shafiroff"/>
    <m/>
    <d v="2019-08-15T00:00:00"/>
    <d v="2019-10-13T00:00:00"/>
    <d v="2019-10-23T00:00:00"/>
    <n v="10"/>
    <s v="USD"/>
    <n v="18546"/>
    <m/>
    <x v="6"/>
    <x v="5"/>
    <n v="18546"/>
  </r>
  <r>
    <n v="682"/>
    <s v="SLIS201908521"/>
    <x v="1"/>
    <x v="9"/>
    <x v="3"/>
    <s v="Australia"/>
    <s v="Sri Lanka"/>
    <x v="2"/>
    <s v="Mr PETER DOBSON"/>
    <m/>
    <d v="2019-08-12T00:00:00"/>
    <d v="2019-09-14T00:00:00"/>
    <d v="2019-09-15T00:00:00"/>
    <n v="1"/>
    <s v="USD"/>
    <n v="589"/>
    <m/>
    <x v="6"/>
    <x v="6"/>
    <n v="589"/>
  </r>
  <r>
    <n v="683"/>
    <s v="SLIS201908519"/>
    <x v="1"/>
    <x v="9"/>
    <x v="19"/>
    <s v="United States of America"/>
    <s v="Sri Lanka"/>
    <x v="0"/>
    <s v="Mr Amanda  Parkes"/>
    <m/>
    <d v="2019-08-10T00:00:00"/>
    <d v="2019-08-11T00:00:00"/>
    <d v="2019-08-12T00:00:00"/>
    <n v="1"/>
    <s v="USD"/>
    <n v="50"/>
    <m/>
    <x v="6"/>
    <x v="7"/>
    <n v="50"/>
  </r>
  <r>
    <n v="684"/>
    <s v="RDT201908514"/>
    <x v="0"/>
    <x v="9"/>
    <x v="4"/>
    <s v="United Kingdom"/>
    <s v="Sri Lanka"/>
    <x v="1"/>
    <s v="Ms Louise McArthur"/>
    <s v="lmcarthur007@hotmail.com"/>
    <d v="2019-08-09T00:00:00"/>
    <d v="2019-09-06T00:00:00"/>
    <d v="2019-09-15T00:00:00"/>
    <n v="9"/>
    <s v="GBP"/>
    <n v="2676"/>
    <m/>
    <x v="6"/>
    <x v="6"/>
    <n v="2676"/>
  </r>
  <r>
    <n v="685"/>
    <s v="SLIS201908510"/>
    <x v="1"/>
    <x v="9"/>
    <x v="13"/>
    <s v="United States of America"/>
    <s v="Sri Lanka"/>
    <x v="0"/>
    <s v="Mr Patrick Duffy"/>
    <s v="connect2@cfw.center"/>
    <d v="2019-08-08T00:00:00"/>
    <d v="2019-08-12T00:00:00"/>
    <d v="2019-08-16T00:00:00"/>
    <n v="4"/>
    <s v="USD"/>
    <n v="0"/>
    <m/>
    <x v="6"/>
    <x v="7"/>
    <n v="0"/>
  </r>
  <r>
    <n v="686"/>
    <s v="SLIS201908508"/>
    <x v="1"/>
    <x v="9"/>
    <x v="19"/>
    <s v="United Kingdom"/>
    <s v="Sri Lanka"/>
    <x v="1"/>
    <s v="Mr Marko Matysik"/>
    <m/>
    <d v="2019-08-08T00:00:00"/>
    <d v="2019-08-10T00:00:00"/>
    <d v="2019-08-13T00:00:00"/>
    <n v="3"/>
    <s v="USD"/>
    <n v="0"/>
    <m/>
    <x v="6"/>
    <x v="7"/>
    <n v="0"/>
  </r>
  <r>
    <n v="687"/>
    <s v="SLIS201908507"/>
    <x v="1"/>
    <x v="9"/>
    <x v="19"/>
    <s v="Spain"/>
    <s v="Sri Lanka"/>
    <x v="18"/>
    <s v="Mr Alfredo Ramirez"/>
    <m/>
    <d v="2019-08-08T00:00:00"/>
    <d v="2019-08-09T00:00:00"/>
    <d v="2019-08-11T00:00:00"/>
    <n v="2"/>
    <s v="USD"/>
    <n v="0"/>
    <m/>
    <x v="6"/>
    <x v="7"/>
    <n v="0"/>
  </r>
  <r>
    <n v="688"/>
    <s v="SLIS201908506"/>
    <x v="1"/>
    <x v="9"/>
    <x v="13"/>
    <s v="United Kingdom"/>
    <s v="Sri Lanka"/>
    <x v="1"/>
    <s v="Mr Camilla Fitz-Patrick"/>
    <s v="connect2@cfw.center"/>
    <d v="2019-08-08T00:00:00"/>
    <d v="2019-08-10T00:00:00"/>
    <d v="2019-08-12T00:00:00"/>
    <n v="2"/>
    <s v="USD"/>
    <n v="0"/>
    <m/>
    <x v="6"/>
    <x v="7"/>
    <n v="0"/>
  </r>
  <r>
    <n v="689"/>
    <s v="SLIS201908500"/>
    <x v="1"/>
    <x v="9"/>
    <x v="28"/>
    <s v="Jersey"/>
    <s v="Sri Lanka"/>
    <x v="47"/>
    <s v="Mr Ian Simpson"/>
    <s v="ian.simpson44@hotmail.com"/>
    <d v="2019-08-07T00:00:00"/>
    <d v="2019-09-27T00:00:00"/>
    <d v="2019-10-01T00:00:00"/>
    <n v="4"/>
    <s v="USD"/>
    <n v="490"/>
    <m/>
    <x v="6"/>
    <x v="6"/>
    <n v="490"/>
  </r>
  <r>
    <n v="690"/>
    <s v="RDT201908499"/>
    <x v="0"/>
    <x v="9"/>
    <x v="19"/>
    <s v="Norway"/>
    <s v="Sri Lanka"/>
    <x v="43"/>
    <s v="Mr Anders Strand"/>
    <m/>
    <d v="2019-08-06T00:00:00"/>
    <d v="2019-08-18T00:00:00"/>
    <d v="2019-08-23T00:00:00"/>
    <n v="5"/>
    <s v="USD"/>
    <n v="615.92999999999995"/>
    <m/>
    <x v="6"/>
    <x v="7"/>
    <n v="615.92999999999995"/>
  </r>
  <r>
    <n v="691"/>
    <s v="RDT201908494"/>
    <x v="0"/>
    <x v="9"/>
    <x v="4"/>
    <s v="Germany"/>
    <s v="Sri Lanka"/>
    <x v="7"/>
    <s v="Mr Tobias Wahl"/>
    <s v="wahlanna17@gmail.com"/>
    <d v="2019-08-05T00:00:00"/>
    <d v="2019-08-24T00:00:00"/>
    <d v="2019-09-08T00:00:00"/>
    <n v="15"/>
    <s v="EUR"/>
    <n v="6499"/>
    <m/>
    <x v="6"/>
    <x v="7"/>
    <n v="6499"/>
  </r>
  <r>
    <n v="692"/>
    <s v="RDT201908492"/>
    <x v="0"/>
    <x v="9"/>
    <x v="20"/>
    <s v="Sri Lanka"/>
    <s v="Sri Lanka"/>
    <x v="9"/>
    <s v="Mr Michael  Siva"/>
    <s v="rikaz@thefabulousgetaway.com"/>
    <d v="2019-08-03T00:00:00"/>
    <d v="2019-08-06T00:00:00"/>
    <d v="2019-08-07T00:00:00"/>
    <n v="1"/>
    <s v="USD"/>
    <n v="236.81"/>
    <m/>
    <x v="6"/>
    <x v="7"/>
    <n v="236.81"/>
  </r>
  <r>
    <n v="693"/>
    <s v="RDT201908490"/>
    <x v="0"/>
    <x v="9"/>
    <x v="4"/>
    <s v="United Kingdom"/>
    <s v="Sri Lanka"/>
    <x v="1"/>
    <s v="Mr Simon Ralph  Hughes"/>
    <s v=",simonhughes14@icloud.com"/>
    <d v="2019-08-01T00:00:00"/>
    <d v="2020-02-29T00:00:00"/>
    <d v="2020-03-12T00:00:00"/>
    <n v="12"/>
    <s v="USD"/>
    <n v="10565"/>
    <m/>
    <x v="5"/>
    <x v="1"/>
    <n v="10565"/>
  </r>
  <r>
    <n v="694"/>
    <s v="RDT201908488"/>
    <x v="0"/>
    <x v="9"/>
    <x v="18"/>
    <s v="United Kingdom"/>
    <s v="Sri Lanka"/>
    <x v="1"/>
    <s v="Mr Mary Morley"/>
    <s v="mehmorley@gmail.com"/>
    <d v="2019-08-01T00:00:00"/>
    <d v="2019-12-29T00:00:00"/>
    <d v="2020-01-07T00:00:00"/>
    <n v="9"/>
    <s v="USD"/>
    <n v="20036.939999999999"/>
    <m/>
    <x v="6"/>
    <x v="3"/>
    <n v="20036.939999999999"/>
  </r>
  <r>
    <n v="695"/>
    <s v="RDT201907459"/>
    <x v="0"/>
    <x v="9"/>
    <x v="31"/>
    <s v="Oman"/>
    <s v="Sri Lanka"/>
    <x v="48"/>
    <s v="Ms Daniela Salazar"/>
    <s v="danielasalazar1989@gmail.com,danielasalazar1989@gmail.com"/>
    <d v="2019-07-23T00:00:00"/>
    <d v="2019-12-25T00:00:00"/>
    <d v="2020-01-02T00:00:00"/>
    <n v="8"/>
    <s v="USD"/>
    <n v="4015.02"/>
    <m/>
    <x v="6"/>
    <x v="3"/>
    <n v="4015.02"/>
  </r>
  <r>
    <n v="696"/>
    <s v="RDT201907448"/>
    <x v="0"/>
    <x v="9"/>
    <x v="4"/>
    <s v="United Kingdom"/>
    <s v="Sri Lanka"/>
    <x v="1"/>
    <s v="Ms Erica Gilmore"/>
    <s v="sarah.pringle@visualartsprojects.com"/>
    <d v="2019-07-22T00:00:00"/>
    <d v="2019-07-29T00:00:00"/>
    <d v="2019-07-30T00:00:00"/>
    <n v="1"/>
    <s v="USD"/>
    <n v="1656"/>
    <m/>
    <x v="6"/>
    <x v="8"/>
    <n v="1656"/>
  </r>
  <r>
    <n v="697"/>
    <s v="RDT201907447"/>
    <x v="0"/>
    <x v="9"/>
    <x v="18"/>
    <s v="United Kingdom"/>
    <s v="Sri Lanka"/>
    <x v="1"/>
    <s v="Mr Stephen Paul Southward"/>
    <s v="stephen.southward@nhs.net"/>
    <d v="2019-07-22T00:00:00"/>
    <d v="2020-01-16T00:00:00"/>
    <d v="2020-02-01T00:00:00"/>
    <n v="16"/>
    <s v="USD"/>
    <n v="8281.2900000000009"/>
    <m/>
    <x v="5"/>
    <x v="2"/>
    <n v="8281.2900000000009"/>
  </r>
  <r>
    <n v="698"/>
    <s v="SLIS201907443"/>
    <x v="1"/>
    <x v="9"/>
    <x v="19"/>
    <s v="Canada"/>
    <s v="Sri Lanka"/>
    <x v="5"/>
    <s v="Mr Bernard Brideau"/>
    <m/>
    <d v="2019-07-18T00:00:00"/>
    <d v="2019-07-25T00:00:00"/>
    <d v="2019-08-06T00:00:00"/>
    <n v="12"/>
    <s v="USD"/>
    <n v="2675"/>
    <m/>
    <x v="6"/>
    <x v="8"/>
    <n v="2675"/>
  </r>
  <r>
    <n v="699"/>
    <s v="RDT201907429"/>
    <x v="0"/>
    <x v="9"/>
    <x v="19"/>
    <s v="United Kingdom"/>
    <s v="Sri Lanka"/>
    <x v="1"/>
    <s v="Mrs Griz Gordon"/>
    <s v="grizgordon@gmail.com"/>
    <d v="2019-07-11T00:00:00"/>
    <d v="2019-07-17T00:00:00"/>
    <d v="2019-07-23T00:00:00"/>
    <n v="6"/>
    <s v="USD"/>
    <n v="7984.67"/>
    <m/>
    <x v="6"/>
    <x v="8"/>
    <n v="7984.67"/>
  </r>
  <r>
    <n v="700"/>
    <s v="RDT201907423"/>
    <x v="0"/>
    <x v="9"/>
    <x v="18"/>
    <s v="New Zealand"/>
    <s v="Sri Lanka"/>
    <x v="19"/>
    <s v="Mr Cherry  Hermon"/>
    <s v="c.hermon@xtra.co.nz"/>
    <d v="2019-07-09T00:00:00"/>
    <d v="2019-08-19T00:00:00"/>
    <d v="2019-08-24T00:00:00"/>
    <n v="5"/>
    <s v="USD"/>
    <n v="4582"/>
    <m/>
    <x v="6"/>
    <x v="7"/>
    <n v="4582"/>
  </r>
  <r>
    <n v="701"/>
    <s v="RDT201907417"/>
    <x v="0"/>
    <x v="9"/>
    <x v="15"/>
    <s v="South Africa"/>
    <s v="Sri Lanka"/>
    <x v="9"/>
    <s v="Mr Uttum Corea"/>
    <s v="uttum.dinky.corea@gmail.com"/>
    <d v="2019-07-08T00:00:00"/>
    <d v="2019-08-18T00:00:00"/>
    <d v="2019-08-18T00:00:00"/>
    <n v="0"/>
    <s v="USD"/>
    <n v="1585"/>
    <m/>
    <x v="6"/>
    <x v="7"/>
    <n v="1585"/>
  </r>
  <r>
    <n v="702"/>
    <s v="SLIS201907413"/>
    <x v="1"/>
    <x v="9"/>
    <x v="13"/>
    <s v="United Kingdom"/>
    <s v="Sri Lanka"/>
    <x v="1"/>
    <s v="Mr Julia Ward-Osseiran"/>
    <s v="jules.ward@hotmail.com"/>
    <d v="2019-07-05T00:00:00"/>
    <d v="2019-07-12T00:00:00"/>
    <d v="2019-07-18T00:00:00"/>
    <n v="6"/>
    <s v="USD"/>
    <n v="5091"/>
    <m/>
    <x v="6"/>
    <x v="8"/>
    <n v="5091"/>
  </r>
  <r>
    <n v="703"/>
    <s v="RDT201907412"/>
    <x v="0"/>
    <x v="9"/>
    <x v="20"/>
    <s v="Sri Lanka"/>
    <s v="Sri Lanka"/>
    <x v="9"/>
    <s v="Mr Michael Siva"/>
    <s v="michael@kiminholdings.com"/>
    <d v="2019-07-05T00:00:00"/>
    <d v="2019-07-05T00:00:00"/>
    <d v="2019-07-07T00:00:00"/>
    <n v="2"/>
    <s v="USD"/>
    <n v="470.48"/>
    <m/>
    <x v="6"/>
    <x v="8"/>
    <n v="470.48"/>
  </r>
  <r>
    <n v="704"/>
    <s v="SLIS201907411"/>
    <x v="1"/>
    <x v="9"/>
    <x v="32"/>
    <s v="Spain"/>
    <s v="Sri Lanka"/>
    <x v="18"/>
    <s v="Mr Cistina Lopez"/>
    <s v=",clopezpascua@gmail.com"/>
    <d v="2019-07-04T00:00:00"/>
    <d v="2019-08-17T00:00:00"/>
    <d v="2019-08-25T00:00:00"/>
    <n v="8"/>
    <s v="USD"/>
    <n v="19477.330000000002"/>
    <m/>
    <x v="6"/>
    <x v="7"/>
    <n v="19477.330000000002"/>
  </r>
  <r>
    <n v="705"/>
    <s v="SLIS201907410"/>
    <x v="1"/>
    <x v="9"/>
    <x v="33"/>
    <s v="Spain"/>
    <s v="Sri Lanka"/>
    <x v="18"/>
    <s v="Mr Javier Pinilla"/>
    <s v="jpinilla@deloitte.es"/>
    <d v="2019-07-04T00:00:00"/>
    <d v="2019-08-19T00:00:00"/>
    <d v="2019-08-30T00:00:00"/>
    <n v="11"/>
    <s v="USD"/>
    <n v="3910.02"/>
    <m/>
    <x v="6"/>
    <x v="7"/>
    <n v="3910.02"/>
  </r>
  <r>
    <n v="706"/>
    <s v="RDT201907402"/>
    <x v="0"/>
    <x v="9"/>
    <x v="18"/>
    <s v="New Zealand"/>
    <s v="Sri Lanka"/>
    <x v="19"/>
    <s v="Mr Cherry Hermon"/>
    <s v="c.hermon@xtra.co.nz / randsabraham@gmail.c"/>
    <d v="2019-07-04T00:00:00"/>
    <d v="2019-08-04T00:00:00"/>
    <d v="2019-08-19T00:00:00"/>
    <n v="15"/>
    <s v="USD"/>
    <n v="11190"/>
    <m/>
    <x v="6"/>
    <x v="7"/>
    <n v="11190"/>
  </r>
  <r>
    <n v="707"/>
    <s v="RDT201907392"/>
    <x v="0"/>
    <x v="9"/>
    <x v="24"/>
    <s v="France"/>
    <s v="Sri Lanka"/>
    <x v="14"/>
    <s v="Mr Charles Heathcote-Smith Heathcote-Smith"/>
    <s v="jo.heathcote-smith@orange.fr"/>
    <d v="2019-07-02T00:00:00"/>
    <d v="2019-08-23T00:00:00"/>
    <d v="2019-09-03T00:00:00"/>
    <n v="11"/>
    <s v="USD"/>
    <n v="3598.48"/>
    <m/>
    <x v="6"/>
    <x v="7"/>
    <n v="3598.48"/>
  </r>
  <r>
    <n v="708"/>
    <s v="SLIS201906378"/>
    <x v="1"/>
    <x v="9"/>
    <x v="2"/>
    <s v="Australia"/>
    <s v="Sri Lanka"/>
    <x v="2"/>
    <s v="Mr Kim Hayman"/>
    <s v="khayman@hrcs.com.au"/>
    <d v="2019-06-26T00:00:00"/>
    <d v="2019-12-06T00:00:00"/>
    <d v="2020-01-14T00:00:00"/>
    <n v="39"/>
    <s v="USD"/>
    <n v="28464"/>
    <m/>
    <x v="6"/>
    <x v="3"/>
    <n v="28464"/>
  </r>
  <r>
    <n v="709"/>
    <s v="RDT201906373"/>
    <x v="0"/>
    <x v="9"/>
    <x v="4"/>
    <s v="Australia"/>
    <s v="Sri Lanka"/>
    <x v="2"/>
    <s v="Mr Marion Joyce  Joseph"/>
    <s v="marion.joseph@bigpond.com"/>
    <d v="2019-06-25T00:00:00"/>
    <d v="2019-12-21T00:00:00"/>
    <d v="2020-01-02T00:00:00"/>
    <n v="12"/>
    <s v="USD"/>
    <n v="7934"/>
    <m/>
    <x v="6"/>
    <x v="3"/>
    <n v="7934"/>
  </r>
  <r>
    <n v="710"/>
    <s v="RDT201906371"/>
    <x v="0"/>
    <x v="9"/>
    <x v="4"/>
    <s v="United Kingdom"/>
    <s v="Sri Lanka"/>
    <x v="1"/>
    <s v="Mr Simon Charles Collins  Ward"/>
    <s v="sccward96@hotmail.com"/>
    <d v="2019-06-25T00:00:00"/>
    <d v="2019-07-30T00:00:00"/>
    <d v="2019-08-19T00:00:00"/>
    <n v="20"/>
    <s v="USD"/>
    <n v="8545"/>
    <m/>
    <x v="6"/>
    <x v="8"/>
    <n v="8545"/>
  </r>
  <r>
    <n v="711"/>
    <s v="RDT201906370"/>
    <x v="0"/>
    <x v="9"/>
    <x v="4"/>
    <s v="United Kingdom"/>
    <s v="Sri Lanka"/>
    <x v="1"/>
    <s v="Mr Michael Colin  Oliver"/>
    <m/>
    <d v="2019-06-25T00:00:00"/>
    <d v="2019-11-23T00:00:00"/>
    <d v="2019-12-07T00:00:00"/>
    <n v="14"/>
    <s v="USD"/>
    <n v="15329"/>
    <m/>
    <x v="6"/>
    <x v="4"/>
    <n v="15329"/>
  </r>
  <r>
    <n v="712"/>
    <s v="SLIS201906367"/>
    <x v="1"/>
    <x v="9"/>
    <x v="33"/>
    <s v="Spain"/>
    <s v="Sri Lanka"/>
    <x v="18"/>
    <s v="Mr Elvira Marco"/>
    <s v=",elvira.marcom@gmail.com"/>
    <d v="2019-06-24T00:00:00"/>
    <d v="2019-07-16T00:00:00"/>
    <d v="2019-08-31T00:00:00"/>
    <n v="46"/>
    <s v="USD"/>
    <n v="21152"/>
    <m/>
    <x v="6"/>
    <x v="8"/>
    <n v="21152"/>
  </r>
  <r>
    <n v="713"/>
    <s v="SLIS201906352"/>
    <x v="1"/>
    <x v="9"/>
    <x v="33"/>
    <s v="Spain"/>
    <s v="Sri Lanka"/>
    <x v="18"/>
    <s v="Mr Lorena Arrieta"/>
    <s v="lorelainarrieta@gmail.com"/>
    <d v="2019-06-19T00:00:00"/>
    <d v="2019-07-30T00:00:00"/>
    <d v="2019-08-15T00:00:00"/>
    <n v="16"/>
    <s v="USD"/>
    <n v="4270.66"/>
    <m/>
    <x v="6"/>
    <x v="8"/>
    <n v="4270.66"/>
  </r>
  <r>
    <n v="714"/>
    <s v="RDT201906351"/>
    <x v="0"/>
    <x v="9"/>
    <x v="4"/>
    <s v="United Kingdom"/>
    <s v="Sri Lanka"/>
    <x v="1"/>
    <s v="Mr Christopher Rodwell  Jelley"/>
    <s v="Chris.jelley43@gmail.com"/>
    <d v="2019-06-19T00:00:00"/>
    <d v="2020-02-10T00:00:00"/>
    <d v="2020-02-25T00:00:00"/>
    <n v="15"/>
    <s v="USD"/>
    <n v="11558"/>
    <m/>
    <x v="5"/>
    <x v="1"/>
    <n v="11558"/>
  </r>
  <r>
    <n v="715"/>
    <s v="RDT201906339"/>
    <x v="0"/>
    <x v="9"/>
    <x v="18"/>
    <s v="United Kingdom"/>
    <s v="Sri Lanka"/>
    <x v="1"/>
    <s v="Mrs Elisabeth Claire Dixon"/>
    <s v="liscdixon@gmail.com"/>
    <d v="2019-06-17T00:00:00"/>
    <d v="2019-07-12T00:00:00"/>
    <d v="2019-07-26T00:00:00"/>
    <n v="14"/>
    <s v="GBP"/>
    <n v="6775"/>
    <m/>
    <x v="6"/>
    <x v="8"/>
    <n v="6775"/>
  </r>
  <r>
    <n v="716"/>
    <s v="SLIS201906338"/>
    <x v="1"/>
    <x v="9"/>
    <x v="3"/>
    <s v="Canada"/>
    <s v="Sri Lanka"/>
    <x v="5"/>
    <s v="Mrs Pamela Liyanage"/>
    <s v="liyanage.workshops@gmail.com"/>
    <d v="2019-06-17T00:00:00"/>
    <d v="2019-08-06T00:00:00"/>
    <d v="2019-08-23T00:00:00"/>
    <n v="17"/>
    <s v="USD"/>
    <n v="14418.04"/>
    <m/>
    <x v="6"/>
    <x v="7"/>
    <n v="14418.04"/>
  </r>
  <r>
    <n v="717"/>
    <s v="SLIS201906337"/>
    <x v="1"/>
    <x v="9"/>
    <x v="13"/>
    <s v="Canada"/>
    <s v="Sri Lanka"/>
    <x v="5"/>
    <s v="Mr Wendy Thompson"/>
    <s v="wendy@maestrolaw.com"/>
    <d v="2019-06-17T00:00:00"/>
    <d v="2019-11-19T00:00:00"/>
    <d v="2019-12-07T00:00:00"/>
    <n v="18"/>
    <s v="USD"/>
    <n v="13229.17"/>
    <m/>
    <x v="6"/>
    <x v="4"/>
    <n v="13229.17"/>
  </r>
  <r>
    <n v="718"/>
    <s v="SLIS201906334"/>
    <x v="1"/>
    <x v="9"/>
    <x v="10"/>
    <s v="Spain"/>
    <s v="Sri Lanka"/>
    <x v="18"/>
    <s v="Mr Francisco Javier Bueno Miras"/>
    <s v="XBUENO@ECONOMISTES.CAT"/>
    <d v="2019-06-16T00:00:00"/>
    <d v="2019-09-15T00:00:00"/>
    <d v="2019-09-27T00:00:00"/>
    <n v="12"/>
    <s v="USD"/>
    <n v="4198.6499999999996"/>
    <m/>
    <x v="6"/>
    <x v="6"/>
    <n v="4198.6499999999996"/>
  </r>
  <r>
    <n v="719"/>
    <s v="SLIS201906329"/>
    <x v="1"/>
    <x v="9"/>
    <x v="3"/>
    <s v="United States of America"/>
    <s v="Sri Lanka"/>
    <x v="0"/>
    <s v="Mr Michael Blanchflower"/>
    <m/>
    <d v="2019-06-13T00:00:00"/>
    <d v="2019-12-19T00:00:00"/>
    <d v="2020-01-03T00:00:00"/>
    <n v="15"/>
    <s v="USD"/>
    <n v="18720"/>
    <m/>
    <x v="6"/>
    <x v="3"/>
    <n v="18720"/>
  </r>
  <r>
    <n v="720"/>
    <s v="RDT201906328"/>
    <x v="0"/>
    <x v="9"/>
    <x v="4"/>
    <s v="United Kingdom"/>
    <s v="Sri Lanka"/>
    <x v="1"/>
    <s v="Ms Tina  Norden"/>
    <s v="tnorden@conran.com"/>
    <d v="2019-06-13T00:00:00"/>
    <d v="2020-01-24T00:00:00"/>
    <d v="2020-02-02T00:00:00"/>
    <n v="9"/>
    <s v="USD"/>
    <n v="6880.01"/>
    <m/>
    <x v="5"/>
    <x v="2"/>
    <n v="6880.01"/>
  </r>
  <r>
    <n v="721"/>
    <s v="SLIS201906325"/>
    <x v="1"/>
    <x v="9"/>
    <x v="32"/>
    <s v="Spain"/>
    <s v="Sri Lanka"/>
    <x v="18"/>
    <s v="Mr Carmen Martin Albert"/>
    <s v="Carmen.martinalbert@gmail.com"/>
    <d v="2019-06-12T00:00:00"/>
    <d v="2019-08-07T00:00:00"/>
    <d v="2019-08-23T00:00:00"/>
    <n v="16"/>
    <s v="USD"/>
    <n v="13549.18"/>
    <m/>
    <x v="6"/>
    <x v="7"/>
    <n v="13549.18"/>
  </r>
  <r>
    <n v="722"/>
    <s v="RDT201906323"/>
    <x v="0"/>
    <x v="9"/>
    <x v="4"/>
    <s v="British Virgin Islands"/>
    <s v="Sri Lanka"/>
    <x v="1"/>
    <s v="Mr Robert James Stewart Carswell"/>
    <m/>
    <d v="2019-06-12T00:00:00"/>
    <d v="2019-08-09T00:00:00"/>
    <d v="2019-08-21T00:00:00"/>
    <n v="12"/>
    <s v="USD"/>
    <n v="9329.9"/>
    <m/>
    <x v="6"/>
    <x v="7"/>
    <n v="9329.9"/>
  </r>
  <r>
    <n v="723"/>
    <s v="RDT201906318"/>
    <x v="0"/>
    <x v="9"/>
    <x v="4"/>
    <s v="United Kingdom"/>
    <s v="Sri Lanka"/>
    <x v="1"/>
    <s v="Mr Jenny Ann  Marriott"/>
    <m/>
    <d v="2019-06-11T00:00:00"/>
    <d v="2019-09-19T00:00:00"/>
    <d v="2019-09-26T00:00:00"/>
    <n v="7"/>
    <s v="USD"/>
    <n v="3871"/>
    <m/>
    <x v="6"/>
    <x v="6"/>
    <n v="3871"/>
  </r>
  <r>
    <n v="724"/>
    <s v="RDT201906312"/>
    <x v="0"/>
    <x v="9"/>
    <x v="18"/>
    <s v="United Kingdom"/>
    <s v="Sri Lanka"/>
    <x v="1"/>
    <s v="Mr Julia  Julia"/>
    <s v="gojupe@hotmail.co.uk"/>
    <d v="2019-06-11T00:00:00"/>
    <d v="2019-09-25T00:00:00"/>
    <d v="2019-10-02T00:00:00"/>
    <n v="7"/>
    <s v="USD"/>
    <n v="4792"/>
    <m/>
    <x v="6"/>
    <x v="6"/>
    <n v="4792"/>
  </r>
  <r>
    <n v="725"/>
    <s v="RDT201906309"/>
    <x v="0"/>
    <x v="9"/>
    <x v="18"/>
    <s v="New Zealand"/>
    <s v="Sri Lanka"/>
    <x v="19"/>
    <s v="Mr Ronald Piers  Abraham"/>
    <s v="Ronald - randsabraham@gmail.com"/>
    <d v="2019-06-11T00:00:00"/>
    <d v="2019-08-13T00:00:00"/>
    <d v="2019-08-18T00:00:00"/>
    <n v="5"/>
    <s v="USD"/>
    <n v="2113"/>
    <m/>
    <x v="6"/>
    <x v="7"/>
    <n v="2113"/>
  </r>
  <r>
    <n v="726"/>
    <s v="RDT201906308"/>
    <x v="0"/>
    <x v="9"/>
    <x v="18"/>
    <s v="United Kingdom"/>
    <s v="Sri Lanka"/>
    <x v="1"/>
    <s v="Mr Harriet Stevens"/>
    <s v="hatsjerv@hotmail.com"/>
    <d v="2019-06-11T00:00:00"/>
    <d v="2019-12-20T00:00:00"/>
    <d v="2020-01-01T00:00:00"/>
    <n v="12"/>
    <s v="USD"/>
    <n v="16216"/>
    <m/>
    <x v="6"/>
    <x v="3"/>
    <n v="16216"/>
  </r>
  <r>
    <n v="727"/>
    <s v="RDT201906306"/>
    <x v="0"/>
    <x v="9"/>
    <x v="24"/>
    <s v="United Kingdom"/>
    <s v="Sri Lanka"/>
    <x v="1"/>
    <s v="Mr Dr. Ifat  Barnes"/>
    <s v="If_Barnes@yahoo.co.uk"/>
    <d v="2019-06-11T00:00:00"/>
    <d v="2019-08-01T00:00:00"/>
    <d v="2019-08-19T00:00:00"/>
    <n v="18"/>
    <s v="USD"/>
    <n v="6918.47"/>
    <m/>
    <x v="6"/>
    <x v="7"/>
    <n v="6918.47"/>
  </r>
  <r>
    <n v="728"/>
    <s v="RDT201906305"/>
    <x v="0"/>
    <x v="9"/>
    <x v="15"/>
    <s v="United Kingdom"/>
    <s v="Sri Lanka"/>
    <x v="1"/>
    <s v="Mr Kyle Karim"/>
    <s v="kylehkarim@gmail.com"/>
    <d v="2019-06-11T00:00:00"/>
    <d v="2019-07-01T00:00:00"/>
    <d v="2019-07-14T00:00:00"/>
    <n v="13"/>
    <s v="USD"/>
    <n v="1035"/>
    <m/>
    <x v="6"/>
    <x v="8"/>
    <n v="1035"/>
  </r>
  <r>
    <n v="729"/>
    <s v="RDT201906304"/>
    <x v="0"/>
    <x v="9"/>
    <x v="18"/>
    <s v="United Kingdom"/>
    <s v="Sri Lanka"/>
    <x v="1"/>
    <s v="Mr Claire Louise Douglas Douglas"/>
    <s v="clairewilson77@gmail.com"/>
    <d v="2019-06-11T00:00:00"/>
    <d v="2019-07-17T00:00:00"/>
    <d v="2019-07-31T00:00:00"/>
    <n v="14"/>
    <s v="USD"/>
    <n v="5203"/>
    <m/>
    <x v="6"/>
    <x v="8"/>
    <n v="5203"/>
  </r>
  <r>
    <n v="730"/>
    <s v="SLIS201906302"/>
    <x v="1"/>
    <x v="9"/>
    <x v="10"/>
    <s v="Spain"/>
    <s v="Sri Lanka"/>
    <x v="18"/>
    <s v="Mr Sebasti&amp;aacute;n Dubayle"/>
    <s v="sdubayle@gmail.com"/>
    <d v="2019-06-10T00:00:00"/>
    <d v="2019-07-03T00:00:00"/>
    <d v="2019-07-08T00:00:00"/>
    <n v="5"/>
    <s v="USD"/>
    <n v="1390.75"/>
    <m/>
    <x v="6"/>
    <x v="8"/>
    <n v="1390.75"/>
  </r>
  <r>
    <n v="731"/>
    <s v="SLIS201906296"/>
    <x v="1"/>
    <x v="9"/>
    <x v="33"/>
    <s v="Spain"/>
    <s v="Sri Lanka"/>
    <x v="18"/>
    <s v="Ms Maria Concepcion Medina Eusebio"/>
    <s v="comedieb@yahoo.es"/>
    <d v="2019-06-10T00:00:00"/>
    <d v="2019-07-04T00:00:00"/>
    <d v="2019-07-17T00:00:00"/>
    <n v="13"/>
    <s v="USD"/>
    <n v="5509.28"/>
    <m/>
    <x v="6"/>
    <x v="8"/>
    <n v="5509.28"/>
  </r>
  <r>
    <n v="732"/>
    <s v="RDT201906292"/>
    <x v="0"/>
    <x v="9"/>
    <x v="4"/>
    <s v="United Kingdom"/>
    <s v="Sri Lanka"/>
    <x v="1"/>
    <s v="Mr Karen  Stoner"/>
    <s v="Karen.stoner@ymail.com"/>
    <d v="2019-06-10T00:00:00"/>
    <d v="2019-07-19T00:00:00"/>
    <d v="2019-08-03T00:00:00"/>
    <n v="15"/>
    <s v="USD"/>
    <n v="7463.5"/>
    <m/>
    <x v="6"/>
    <x v="8"/>
    <n v="7463.5"/>
  </r>
  <r>
    <n v="733"/>
    <s v="RDT201906287"/>
    <x v="0"/>
    <x v="9"/>
    <x v="4"/>
    <s v="United Kingdom"/>
    <s v="Sri Lanka"/>
    <x v="1"/>
    <s v="Mr Jane Bunt"/>
    <s v="Jane.bunt@btinternet.com"/>
    <d v="2019-06-06T00:00:00"/>
    <d v="2019-06-15T00:00:00"/>
    <d v="2019-08-21T00:00:00"/>
    <n v="67"/>
    <s v="USD"/>
    <n v="16175.4"/>
    <m/>
    <x v="6"/>
    <x v="9"/>
    <n v="16175.4"/>
  </r>
  <r>
    <n v="734"/>
    <s v="RDT201906286"/>
    <x v="0"/>
    <x v="9"/>
    <x v="15"/>
    <s v="Switzerland"/>
    <s v="Sri Lanka"/>
    <x v="21"/>
    <s v="Mr Jorg Ren&amp;eacute; Kostenbader"/>
    <s v="jrkostenbader@gmx.ch"/>
    <d v="2019-06-06T00:00:00"/>
    <d v="2019-12-22T00:00:00"/>
    <d v="2019-12-22T00:00:00"/>
    <n v="0"/>
    <s v="USD"/>
    <n v="1912.5"/>
    <m/>
    <x v="6"/>
    <x v="3"/>
    <n v="1912.5"/>
  </r>
  <r>
    <n v="735"/>
    <s v="RDT201906285"/>
    <x v="0"/>
    <x v="9"/>
    <x v="15"/>
    <s v="Italy"/>
    <s v="Sri Lanka"/>
    <x v="11"/>
    <s v="Mr Sarah-Ashley Wright"/>
    <s v="Swright2905@gmail.com"/>
    <d v="2019-06-06T00:00:00"/>
    <d v="2019-08-11T00:00:00"/>
    <d v="2019-08-11T00:00:00"/>
    <n v="0"/>
    <s v="USD"/>
    <n v="372"/>
    <m/>
    <x v="6"/>
    <x v="7"/>
    <n v="372"/>
  </r>
  <r>
    <n v="736"/>
    <s v="RDT201906284"/>
    <x v="0"/>
    <x v="9"/>
    <x v="15"/>
    <s v="Australia"/>
    <s v="Sri Lanka"/>
    <x v="2"/>
    <s v="Mr Diego Alegre"/>
    <s v="Porteno.dea@gmail.com"/>
    <d v="2019-06-06T00:00:00"/>
    <d v="2019-08-07T00:00:00"/>
    <d v="2019-08-07T00:00:00"/>
    <n v="0"/>
    <s v="USD"/>
    <n v="1172"/>
    <m/>
    <x v="6"/>
    <x v="7"/>
    <n v="1172"/>
  </r>
  <r>
    <n v="737"/>
    <s v="SLIS201906274"/>
    <x v="1"/>
    <x v="9"/>
    <x v="19"/>
    <s v="Australia"/>
    <s v="Sri Lanka"/>
    <x v="2"/>
    <s v="Mr Graham  Antony"/>
    <s v="Graham.Antony@aurecongroup.com"/>
    <d v="2019-06-05T00:00:00"/>
    <d v="2019-09-27T00:00:00"/>
    <d v="2019-10-06T00:00:00"/>
    <n v="9"/>
    <s v="USD"/>
    <n v="2680"/>
    <m/>
    <x v="6"/>
    <x v="6"/>
    <n v="2680"/>
  </r>
  <r>
    <n v="738"/>
    <s v="RDT201906273"/>
    <x v="0"/>
    <x v="9"/>
    <x v="18"/>
    <s v="United Kingdom"/>
    <s v="Sri Lanka"/>
    <x v="1"/>
    <s v="Mr Freddie  Hobart"/>
    <s v="fhobart@deloitte.co.uk"/>
    <d v="2019-06-05T00:00:00"/>
    <d v="2019-08-06T00:00:00"/>
    <d v="2019-08-15T00:00:00"/>
    <n v="9"/>
    <s v="USD"/>
    <n v="3634"/>
    <m/>
    <x v="6"/>
    <x v="7"/>
    <n v="3634"/>
  </r>
  <r>
    <n v="739"/>
    <s v="RDT201906272"/>
    <x v="0"/>
    <x v="9"/>
    <x v="34"/>
    <s v="United Kingdom"/>
    <s v="Sri Lanka"/>
    <x v="1"/>
    <s v="Mr Paul  Marsh"/>
    <s v="charlottethrower@hotmail.com"/>
    <d v="2019-06-05T00:00:00"/>
    <d v="2019-08-11T00:00:00"/>
    <d v="2019-08-25T00:00:00"/>
    <n v="14"/>
    <s v="USD"/>
    <n v="6331.25"/>
    <m/>
    <x v="6"/>
    <x v="7"/>
    <n v="6331.25"/>
  </r>
  <r>
    <n v="740"/>
    <s v="RDT201906270"/>
    <x v="0"/>
    <x v="9"/>
    <x v="15"/>
    <s v="United States of America"/>
    <s v="Sri Lanka"/>
    <x v="0"/>
    <s v="Mr JERRY AIYATHURAI"/>
    <s v="TUSKERFORT@GMAIL.COM"/>
    <d v="2019-06-04T00:00:00"/>
    <d v="2019-06-08T00:00:00"/>
    <d v="2019-06-08T00:00:00"/>
    <n v="0"/>
    <s v="USD"/>
    <n v="495"/>
    <m/>
    <x v="6"/>
    <x v="9"/>
    <n v="495"/>
  </r>
  <r>
    <n v="741"/>
    <s v="RDT201905261"/>
    <x v="0"/>
    <x v="9"/>
    <x v="4"/>
    <s v="Norway"/>
    <s v="Sri Lanka"/>
    <x v="43"/>
    <s v="Mr Anne Soerbraaten"/>
    <s v="anne.sorbraten@ipsos.com"/>
    <d v="2019-05-30T00:00:00"/>
    <d v="2019-07-01T00:00:00"/>
    <d v="2019-07-07T00:00:00"/>
    <n v="6"/>
    <s v="GBP"/>
    <n v="2096"/>
    <m/>
    <x v="6"/>
    <x v="8"/>
    <n v="2096"/>
  </r>
  <r>
    <n v="742"/>
    <s v="RDT201905260"/>
    <x v="0"/>
    <x v="9"/>
    <x v="4"/>
    <s v="United Kingdom"/>
    <s v="Sri Lanka"/>
    <x v="1"/>
    <s v="Mr Flora Grace Cameron  Easton"/>
    <s v=",flora.easton@hotmail.co.uk"/>
    <d v="2019-05-30T00:00:00"/>
    <d v="2019-07-06T00:00:00"/>
    <d v="2019-07-19T00:00:00"/>
    <n v="13"/>
    <s v="USD"/>
    <n v="2560"/>
    <m/>
    <x v="6"/>
    <x v="8"/>
    <n v="2560"/>
  </r>
  <r>
    <n v="743"/>
    <s v="RDT201905259"/>
    <x v="0"/>
    <x v="9"/>
    <x v="4"/>
    <s v="United States of America"/>
    <s v="Sri Lanka"/>
    <x v="0"/>
    <s v="Mr Gayda Kilajy  Hanna"/>
    <s v="gayda@cox.net"/>
    <d v="2019-05-30T00:00:00"/>
    <d v="2019-12-02T00:00:00"/>
    <d v="2019-12-14T00:00:00"/>
    <n v="12"/>
    <s v="USD"/>
    <n v="5172"/>
    <m/>
    <x v="6"/>
    <x v="3"/>
    <n v="5172"/>
  </r>
  <r>
    <n v="744"/>
    <s v="RDT201905258"/>
    <x v="0"/>
    <x v="9"/>
    <x v="4"/>
    <s v="United Kingdom"/>
    <s v="Sri Lanka"/>
    <x v="1"/>
    <s v="Mr Carl Bruce  Piercy"/>
    <s v="cpiercy@tangentlink.com"/>
    <d v="2019-05-30T00:00:00"/>
    <d v="2019-04-12T00:00:00"/>
    <d v="2019-04-12T00:00:00"/>
    <n v="0"/>
    <s v="GBP"/>
    <n v="1590"/>
    <m/>
    <x v="6"/>
    <x v="11"/>
    <n v="1590"/>
  </r>
  <r>
    <n v="745"/>
    <s v="RDT201905257"/>
    <x v="0"/>
    <x v="9"/>
    <x v="12"/>
    <s v="United Kingdom"/>
    <s v="Sri Lanka"/>
    <x v="1"/>
    <s v="Mr Manoharan Kanagalingam"/>
    <s v="monoeng@hotmail.com"/>
    <d v="2019-05-30T00:00:00"/>
    <d v="2019-07-08T00:00:00"/>
    <d v="2019-07-24T00:00:00"/>
    <n v="16"/>
    <s v="LKR"/>
    <n v="431646.38"/>
    <m/>
    <x v="6"/>
    <x v="8"/>
    <n v="431646.38"/>
  </r>
  <r>
    <n v="746"/>
    <s v="RDT201905255"/>
    <x v="0"/>
    <x v="9"/>
    <x v="4"/>
    <s v="United Kingdom"/>
    <s v="Sri Lanka"/>
    <x v="1"/>
    <s v="Mr Victoria Mary Clare  Williams"/>
    <s v="toriwilliams85@hotmail.com"/>
    <d v="2019-05-29T00:00:00"/>
    <d v="2019-04-08T00:00:00"/>
    <d v="2019-04-23T00:00:00"/>
    <n v="15"/>
    <s v="USD"/>
    <n v="6411"/>
    <m/>
    <x v="6"/>
    <x v="11"/>
    <n v="6411"/>
  </r>
  <r>
    <n v="747"/>
    <s v="SLIS201905253"/>
    <x v="1"/>
    <x v="9"/>
    <x v="28"/>
    <s v="Australia"/>
    <s v="Sri Lanka"/>
    <x v="2"/>
    <s v="Mr Jane Barker"/>
    <s v=",jjaks66@gmail.com"/>
    <d v="2019-05-28T00:00:00"/>
    <d v="2019-06-30T00:00:00"/>
    <d v="2019-07-13T00:00:00"/>
    <n v="13"/>
    <s v="USD"/>
    <n v="7222.58"/>
    <m/>
    <x v="6"/>
    <x v="9"/>
    <n v="7222.58"/>
  </r>
  <r>
    <n v="748"/>
    <s v="RDT201905233"/>
    <x v="0"/>
    <x v="9"/>
    <x v="4"/>
    <s v="United Kingdom"/>
    <s v="Sri Lanka"/>
    <x v="1"/>
    <s v="Mr Andrew Norman  Hues"/>
    <s v="sarahhues@hotmail.co.uk"/>
    <d v="2019-05-23T00:00:00"/>
    <d v="2019-04-04T00:00:00"/>
    <d v="2019-05-19T00:00:00"/>
    <n v="45"/>
    <s v="USD"/>
    <n v="10068"/>
    <m/>
    <x v="6"/>
    <x v="11"/>
    <n v="10068"/>
  </r>
  <r>
    <n v="749"/>
    <s v="SLIS201905228"/>
    <x v="1"/>
    <x v="9"/>
    <x v="35"/>
    <s v="Germany"/>
    <s v="Sri Lanka"/>
    <x v="7"/>
    <s v="Mr Gregory Bornet"/>
    <s v=",greg.bornet@gmail.com"/>
    <d v="2019-05-23T00:00:00"/>
    <d v="2019-04-11T00:00:00"/>
    <d v="2019-04-22T00:00:00"/>
    <n v="11"/>
    <s v="USD"/>
    <n v="16840"/>
    <m/>
    <x v="6"/>
    <x v="11"/>
    <n v="16840"/>
  </r>
  <r>
    <n v="750"/>
    <s v="RDT201905226"/>
    <x v="0"/>
    <x v="9"/>
    <x v="18"/>
    <s v="United Kingdom"/>
    <s v="Sri Lanka"/>
    <x v="1"/>
    <s v="Mr Andrea  Julius"/>
    <s v="andrea.julius@talktalk.net"/>
    <d v="2019-05-23T00:00:00"/>
    <d v="2019-04-08T00:00:00"/>
    <d v="2019-04-21T00:00:00"/>
    <n v="13"/>
    <s v="USD"/>
    <n v="5584"/>
    <m/>
    <x v="6"/>
    <x v="11"/>
    <n v="5584"/>
  </r>
  <r>
    <n v="751"/>
    <s v="RDT201905223"/>
    <x v="0"/>
    <x v="9"/>
    <x v="4"/>
    <s v="United Kingdom"/>
    <s v="Sri Lanka"/>
    <x v="1"/>
    <s v="Mr Dilly Bernadette Rowe"/>
    <s v="dillyrowe98@gmail.com"/>
    <d v="2019-05-22T00:00:00"/>
    <d v="2019-04-12T00:00:00"/>
    <d v="2019-04-18T00:00:00"/>
    <n v="6"/>
    <s v="USD"/>
    <n v="2548"/>
    <m/>
    <x v="6"/>
    <x v="11"/>
    <n v="2548"/>
  </r>
  <r>
    <n v="752"/>
    <s v="SLIS201905221"/>
    <x v="1"/>
    <x v="9"/>
    <x v="36"/>
    <s v="Spain"/>
    <s v="Sri Lanka"/>
    <x v="18"/>
    <s v="Mr Maria Hernandez Herrador"/>
    <s v="mahhyudo@hotmail.com"/>
    <d v="2019-05-22T00:00:00"/>
    <d v="2019-06-05T00:00:00"/>
    <d v="2019-06-17T00:00:00"/>
    <n v="12"/>
    <s v="USD"/>
    <n v="5416.9"/>
    <m/>
    <x v="6"/>
    <x v="9"/>
    <n v="5416.9"/>
  </r>
  <r>
    <n v="753"/>
    <s v="SLIS201905220"/>
    <x v="1"/>
    <x v="9"/>
    <x v="10"/>
    <s v="Spain"/>
    <s v="Sri Lanka"/>
    <x v="18"/>
    <s v="Mr Maria Hernandez Herrador"/>
    <s v="mahhyudo@hotmail.com"/>
    <d v="2019-05-22T00:00:00"/>
    <d v="2019-06-05T00:00:00"/>
    <d v="2019-06-17T00:00:00"/>
    <n v="12"/>
    <s v="USD"/>
    <n v="2213.9"/>
    <m/>
    <x v="6"/>
    <x v="9"/>
    <n v="2213.9"/>
  </r>
  <r>
    <n v="754"/>
    <s v="RDT201905219"/>
    <x v="0"/>
    <x v="9"/>
    <x v="18"/>
    <s v="United Kingdom"/>
    <s v="Sri Lanka"/>
    <x v="1"/>
    <s v="Mr Dinesh Khanna"/>
    <s v="din_esh17@yahoo.com"/>
    <d v="2019-05-22T00:00:00"/>
    <d v="2019-04-12T00:00:00"/>
    <d v="2019-04-19T00:00:00"/>
    <n v="7"/>
    <s v="USD"/>
    <n v="2083"/>
    <m/>
    <x v="6"/>
    <x v="11"/>
    <n v="2083"/>
  </r>
  <r>
    <n v="755"/>
    <s v="RDT201905214"/>
    <x v="0"/>
    <x v="9"/>
    <x v="15"/>
    <s v="United Kingdom"/>
    <s v="Sri Lanka"/>
    <x v="1"/>
    <s v="Mr Ian Alan Garraway"/>
    <s v="Iangarraway@hotmail.com"/>
    <d v="2019-05-22T00:00:00"/>
    <d v="2019-06-13T00:00:00"/>
    <d v="2019-06-24T00:00:00"/>
    <n v="11"/>
    <s v="USD"/>
    <n v="929.7"/>
    <m/>
    <x v="6"/>
    <x v="9"/>
    <n v="929.7"/>
  </r>
  <r>
    <n v="756"/>
    <s v="RDT201905210"/>
    <x v="0"/>
    <x v="9"/>
    <x v="4"/>
    <s v="Australia"/>
    <s v="Sri Lanka"/>
    <x v="2"/>
    <s v="Mr Lucy Megan  Cococcia"/>
    <s v="lucyoneill@hotmail.com"/>
    <d v="2019-05-21T00:00:00"/>
    <d v="2019-04-07T00:00:00"/>
    <d v="2019-04-19T00:00:00"/>
    <n v="12"/>
    <s v="USD"/>
    <n v="5758"/>
    <m/>
    <x v="6"/>
    <x v="11"/>
    <n v="5758"/>
  </r>
  <r>
    <n v="757"/>
    <s v="SLIS201905209"/>
    <x v="1"/>
    <x v="9"/>
    <x v="37"/>
    <s v="United Kingdom"/>
    <s v="Sri Lanka"/>
    <x v="1"/>
    <s v="Mr Henry Richard Maitland Pugh"/>
    <s v="henrypugh@hotmail.com / electrakaridis@gmail.com"/>
    <d v="2019-05-21T00:00:00"/>
    <d v="2019-04-06T00:00:00"/>
    <d v="2019-04-21T00:00:00"/>
    <n v="15"/>
    <s v="USD"/>
    <n v="10471.5"/>
    <m/>
    <x v="6"/>
    <x v="11"/>
    <n v="10471.5"/>
  </r>
  <r>
    <n v="758"/>
    <s v="RDT201905207"/>
    <x v="0"/>
    <x v="9"/>
    <x v="4"/>
    <s v="United Kingdom"/>
    <s v="Sri Lanka"/>
    <x v="1"/>
    <s v="Mr Paul  Wells"/>
    <s v="mrpaulmwells@gmail.com"/>
    <d v="2019-05-21T00:00:00"/>
    <d v="2019-04-09T00:00:00"/>
    <d v="2019-04-21T00:00:00"/>
    <n v="12"/>
    <s v="USD"/>
    <n v="4325"/>
    <m/>
    <x v="6"/>
    <x v="11"/>
    <n v="4325"/>
  </r>
  <r>
    <n v="759"/>
    <s v="RDT201905206"/>
    <x v="0"/>
    <x v="9"/>
    <x v="4"/>
    <s v="United Kingdom"/>
    <s v="Sri Lanka"/>
    <x v="1"/>
    <s v="Mr Catharine Hamilton  Bangham"/>
    <s v="catharinebangham@hotmail.com"/>
    <d v="2019-05-21T00:00:00"/>
    <d v="2019-04-13T00:00:00"/>
    <d v="2019-04-21T00:00:00"/>
    <n v="8"/>
    <s v="USD"/>
    <n v="2985"/>
    <m/>
    <x v="6"/>
    <x v="11"/>
    <n v="2985"/>
  </r>
  <r>
    <n v="760"/>
    <s v="RDT201905203"/>
    <x v="0"/>
    <x v="9"/>
    <x v="2"/>
    <s v="United Kingdom"/>
    <s v="Sri Lanka"/>
    <x v="1"/>
    <s v="Mr Carly Suzanne  Povey"/>
    <s v="cspovey@icloud.com"/>
    <d v="2019-05-21T00:00:00"/>
    <d v="2019-04-18T00:00:00"/>
    <d v="2019-04-28T00:00:00"/>
    <n v="10"/>
    <s v="USD"/>
    <n v="4897"/>
    <m/>
    <x v="6"/>
    <x v="11"/>
    <n v="4897"/>
  </r>
  <r>
    <n v="761"/>
    <s v="RDT201905202"/>
    <x v="0"/>
    <x v="9"/>
    <x v="18"/>
    <s v="United Kingdom"/>
    <s v="Sri Lanka"/>
    <x v="1"/>
    <s v="Mr Naresh  Kumar"/>
    <s v="nareshkumar41@hotmail.com"/>
    <d v="2019-05-20T00:00:00"/>
    <d v="2019-04-14T00:00:00"/>
    <d v="2019-04-20T00:00:00"/>
    <n v="6"/>
    <s v="USD"/>
    <n v="1572"/>
    <m/>
    <x v="6"/>
    <x v="11"/>
    <n v="1572"/>
  </r>
  <r>
    <n v="762"/>
    <s v="RDT201905199"/>
    <x v="0"/>
    <x v="9"/>
    <x v="4"/>
    <s v="British Virgin Islands"/>
    <s v="Sri Lanka"/>
    <x v="1"/>
    <s v="Mr Jan Steadman"/>
    <s v="steadman.jan@gmail.com"/>
    <d v="2019-05-20T00:00:00"/>
    <d v="2019-04-09T00:00:00"/>
    <d v="2019-04-20T00:00:00"/>
    <n v="11"/>
    <s v="GBP"/>
    <n v="8845"/>
    <m/>
    <x v="6"/>
    <x v="11"/>
    <n v="8845"/>
  </r>
  <r>
    <n v="763"/>
    <s v="RDT201905196"/>
    <x v="0"/>
    <x v="9"/>
    <x v="19"/>
    <s v="United Kingdom"/>
    <s v="Sri Lanka"/>
    <x v="1"/>
    <s v="Ms Kate Cohen"/>
    <s v="katelarajoseph@gmail.com / adamkatekc@gmail.com"/>
    <d v="2019-05-20T00:00:00"/>
    <d v="2019-04-05T00:00:00"/>
    <d v="2019-04-17T00:00:00"/>
    <n v="12"/>
    <s v="USD"/>
    <n v="2980.71"/>
    <m/>
    <x v="6"/>
    <x v="11"/>
    <n v="2980.71"/>
  </r>
  <r>
    <n v="764"/>
    <s v="RDT201905194"/>
    <x v="0"/>
    <x v="9"/>
    <x v="4"/>
    <s v="Australia"/>
    <s v="Sri Lanka"/>
    <x v="2"/>
    <s v="Mr Sally Elizabeth de Zwaan"/>
    <s v="sallydz1@gmail.com"/>
    <d v="2019-05-20T00:00:00"/>
    <d v="2019-04-13T00:00:00"/>
    <d v="2019-04-27T00:00:00"/>
    <n v="14"/>
    <s v="USD"/>
    <n v="6521"/>
    <m/>
    <x v="6"/>
    <x v="11"/>
    <n v="6521"/>
  </r>
  <r>
    <n v="765"/>
    <s v="RDT201905193"/>
    <x v="0"/>
    <x v="9"/>
    <x v="15"/>
    <s v="Sri Lanka"/>
    <s v="Sri Lanka"/>
    <x v="9"/>
    <s v="Mr Romesh Navaratnam"/>
    <m/>
    <d v="2019-05-20T00:00:00"/>
    <d v="2019-04-21T00:00:00"/>
    <d v="2019-04-21T00:00:00"/>
    <n v="0"/>
    <s v="USD"/>
    <n v="203"/>
    <m/>
    <x v="6"/>
    <x v="11"/>
    <n v="203"/>
  </r>
  <r>
    <n v="766"/>
    <s v="RDT201905190"/>
    <x v="0"/>
    <x v="9"/>
    <x v="4"/>
    <s v="France"/>
    <s v="Sri Lanka"/>
    <x v="14"/>
    <s v="Mr Gilles Jean Pierre Palmier"/>
    <s v="gilles.palmier42@gmail.com"/>
    <d v="2019-05-20T00:00:00"/>
    <d v="2019-07-19T00:00:00"/>
    <d v="2019-08-05T00:00:00"/>
    <n v="17"/>
    <s v="EUR"/>
    <n v="3100"/>
    <m/>
    <x v="6"/>
    <x v="8"/>
    <n v="3100"/>
  </r>
  <r>
    <n v="767"/>
    <s v="RDT201905189"/>
    <x v="0"/>
    <x v="9"/>
    <x v="4"/>
    <s v="Australia"/>
    <s v="Sri Lanka"/>
    <x v="2"/>
    <s v="Mr Alexander Jones"/>
    <s v="alexjbj@gmail.com"/>
    <d v="2019-05-20T00:00:00"/>
    <d v="2019-04-06T00:00:00"/>
    <d v="2019-04-18T00:00:00"/>
    <n v="12"/>
    <s v="USD"/>
    <n v="5412"/>
    <m/>
    <x v="6"/>
    <x v="11"/>
    <n v="5412"/>
  </r>
  <r>
    <n v="768"/>
    <s v="RDT201905188"/>
    <x v="0"/>
    <x v="9"/>
    <x v="15"/>
    <s v="South Africa"/>
    <s v="Sri Lanka"/>
    <x v="9"/>
    <s v="Mr Uttum Corea"/>
    <s v="uttum.dinky.corea@gmail.com"/>
    <d v="2019-05-19T00:00:00"/>
    <d v="2019-05-24T00:00:00"/>
    <d v="2019-05-24T00:00:00"/>
    <n v="0"/>
    <s v="USD"/>
    <n v="1133"/>
    <m/>
    <x v="6"/>
    <x v="10"/>
    <n v="1133"/>
  </r>
  <r>
    <n v="769"/>
    <s v="RDT201905187"/>
    <x v="0"/>
    <x v="9"/>
    <x v="20"/>
    <s v="Sri Lanka"/>
    <s v="Sri Lanka"/>
    <x v="9"/>
    <s v="Mr Rangika Ariyaratne"/>
    <m/>
    <d v="2019-05-18T00:00:00"/>
    <d v="2019-05-22T00:00:00"/>
    <d v="2019-05-22T00:00:00"/>
    <n v="0"/>
    <s v="USD"/>
    <n v="210.32"/>
    <m/>
    <x v="6"/>
    <x v="10"/>
    <n v="210.32"/>
  </r>
  <r>
    <n v="770"/>
    <s v="RDT201905185"/>
    <x v="0"/>
    <x v="9"/>
    <x v="15"/>
    <s v="Singapore"/>
    <s v="Sri Lanka"/>
    <x v="4"/>
    <s v="Mr Xaver Niels Rustemeyer"/>
    <s v="xaver.rustemeyer@gmail.com"/>
    <d v="2019-05-17T00:00:00"/>
    <d v="2019-06-01T00:00:00"/>
    <d v="2019-06-12T00:00:00"/>
    <n v="11"/>
    <s v="USD"/>
    <n v="4950"/>
    <m/>
    <x v="6"/>
    <x v="9"/>
    <n v="4950"/>
  </r>
  <r>
    <n v="771"/>
    <s v="RDT201905182"/>
    <x v="0"/>
    <x v="9"/>
    <x v="3"/>
    <s v="Thailand"/>
    <s v="Sri Lanka"/>
    <x v="14"/>
    <s v="Mr Erwan Huard"/>
    <m/>
    <d v="2019-05-16T00:00:00"/>
    <d v="2019-04-06T00:00:00"/>
    <d v="2019-04-14T00:00:00"/>
    <n v="8"/>
    <s v="USD"/>
    <n v="2914"/>
    <m/>
    <x v="6"/>
    <x v="11"/>
    <n v="2914"/>
  </r>
  <r>
    <n v="772"/>
    <s v="RDT201905181"/>
    <x v="0"/>
    <x v="9"/>
    <x v="3"/>
    <s v="United Kingdom"/>
    <s v="Sri Lanka"/>
    <x v="25"/>
    <s v="Mr Lodewijk Henry"/>
    <s v="lodewijkhenry@gmail.com,lodewijkhenry@gmail.com"/>
    <d v="2019-05-16T00:00:00"/>
    <d v="2019-04-12T00:00:00"/>
    <d v="2019-04-26T00:00:00"/>
    <n v="14"/>
    <s v="USD"/>
    <n v="2572"/>
    <m/>
    <x v="6"/>
    <x v="11"/>
    <n v="2572"/>
  </r>
  <r>
    <n v="773"/>
    <s v="RDT201905180"/>
    <x v="0"/>
    <x v="9"/>
    <x v="35"/>
    <s v="United Kingdom"/>
    <s v="Sri Lanka"/>
    <x v="1"/>
    <s v="Mr Valerie Humphreys"/>
    <s v="valhumphreys@hotmail.com"/>
    <d v="2019-05-16T00:00:00"/>
    <d v="2019-04-05T00:00:00"/>
    <d v="2019-05-18T00:00:00"/>
    <n v="43"/>
    <s v="USD"/>
    <n v="4132"/>
    <m/>
    <x v="6"/>
    <x v="11"/>
    <n v="4132"/>
  </r>
  <r>
    <n v="774"/>
    <s v="RDT201905178"/>
    <x v="0"/>
    <x v="9"/>
    <x v="18"/>
    <s v="Australia"/>
    <s v="Sri Lanka"/>
    <x v="2"/>
    <s v="Mr Michael Dean"/>
    <s v="remwdean@bigpond.net.au"/>
    <d v="2019-05-16T00:00:00"/>
    <d v="2019-04-14T00:00:00"/>
    <d v="2019-04-25T00:00:00"/>
    <n v="11"/>
    <s v="USD"/>
    <n v="4860"/>
    <m/>
    <x v="6"/>
    <x v="11"/>
    <n v="4860"/>
  </r>
  <r>
    <n v="775"/>
    <s v="RDT201905173"/>
    <x v="0"/>
    <x v="9"/>
    <x v="18"/>
    <s v="British Virgin Islands"/>
    <s v="Sri Lanka"/>
    <x v="1"/>
    <s v="Mr Elizabeth Allen"/>
    <m/>
    <d v="2019-05-15T00:00:00"/>
    <d v="2019-04-08T00:00:00"/>
    <d v="2019-05-15T00:00:00"/>
    <n v="37"/>
    <s v="GBP"/>
    <n v="8145"/>
    <m/>
    <x v="6"/>
    <x v="11"/>
    <n v="8145"/>
  </r>
  <r>
    <n v="776"/>
    <s v="SLIS201905170"/>
    <x v="1"/>
    <x v="9"/>
    <x v="25"/>
    <s v="Spain"/>
    <s v="Sri Lanka"/>
    <x v="29"/>
    <s v="Mr Diego Barcelo Perez"/>
    <m/>
    <d v="2019-05-15T00:00:00"/>
    <d v="2019-04-12T00:00:00"/>
    <d v="2019-04-22T00:00:00"/>
    <n v="10"/>
    <s v="USD"/>
    <n v="20405.53"/>
    <m/>
    <x v="6"/>
    <x v="11"/>
    <n v="20405.53"/>
  </r>
  <r>
    <n v="777"/>
    <s v="SLIS201905164"/>
    <x v="1"/>
    <x v="9"/>
    <x v="22"/>
    <s v="United Kingdom"/>
    <s v="Sri Lanka"/>
    <x v="1"/>
    <s v="Mr Alan  Patrick"/>
    <m/>
    <d v="2019-05-10T00:00:00"/>
    <d v="2019-04-02T00:00:00"/>
    <d v="2019-04-22T00:00:00"/>
    <n v="20"/>
    <s v="USD"/>
    <n v="20597"/>
    <m/>
    <x v="6"/>
    <x v="11"/>
    <n v="20597"/>
  </r>
  <r>
    <n v="778"/>
    <s v="RDT201905160"/>
    <x v="0"/>
    <x v="9"/>
    <x v="15"/>
    <s v="United Kingdom"/>
    <s v="Sri Lanka"/>
    <x v="1"/>
    <s v="Mr Michael Galloway"/>
    <s v="michael.galloway@btinternet.com"/>
    <d v="2019-05-10T00:00:00"/>
    <d v="2019-04-25T00:00:00"/>
    <d v="2019-04-25T00:00:00"/>
    <n v="0"/>
    <s v="USD"/>
    <n v="292.5"/>
    <m/>
    <x v="6"/>
    <x v="11"/>
    <n v="292.5"/>
  </r>
  <r>
    <n v="779"/>
    <s v="RDT201905159"/>
    <x v="0"/>
    <x v="9"/>
    <x v="15"/>
    <s v="Australia"/>
    <s v="Sri Lanka"/>
    <x v="2"/>
    <s v="Mr Andrew Watts"/>
    <s v="Andrew.nicholas.watts@gmail.com"/>
    <d v="2019-05-10T00:00:00"/>
    <d v="2019-04-15T00:00:00"/>
    <d v="2019-04-18T00:00:00"/>
    <n v="3"/>
    <s v="USD"/>
    <n v="768"/>
    <m/>
    <x v="6"/>
    <x v="11"/>
    <n v="768"/>
  </r>
  <r>
    <n v="780"/>
    <s v="RDT201905158"/>
    <x v="0"/>
    <x v="9"/>
    <x v="15"/>
    <s v="Australia"/>
    <s v="Sri Lanka"/>
    <x v="2"/>
    <s v="Mr Milajka Deceuninck"/>
    <s v="Milajkad@gmail.com"/>
    <d v="2019-05-10T00:00:00"/>
    <d v="2019-04-14T00:00:00"/>
    <d v="2019-04-14T00:00:00"/>
    <n v="0"/>
    <s v="USD"/>
    <n v="684"/>
    <m/>
    <x v="6"/>
    <x v="11"/>
    <n v="684"/>
  </r>
  <r>
    <n v="781"/>
    <s v="RDT201905157"/>
    <x v="0"/>
    <x v="9"/>
    <x v="15"/>
    <s v="Australia"/>
    <s v="Sri Lanka"/>
    <x v="2"/>
    <s v="Mr Rebecca Wiles"/>
    <s v="Rebecca_wiles@hotmail.com"/>
    <d v="2019-05-10T00:00:00"/>
    <d v="2019-04-07T00:00:00"/>
    <d v="2019-04-24T00:00:00"/>
    <n v="17"/>
    <s v="USD"/>
    <n v="568"/>
    <m/>
    <x v="6"/>
    <x v="11"/>
    <n v="568"/>
  </r>
  <r>
    <n v="782"/>
    <s v="RDT201905156"/>
    <x v="0"/>
    <x v="9"/>
    <x v="15"/>
    <s v="Australia"/>
    <s v="Sri Lanka"/>
    <x v="2"/>
    <s v="Mr Angela Mak"/>
    <s v="lloydadrian@hotmail.com"/>
    <d v="2019-05-10T00:00:00"/>
    <d v="2019-04-16T00:00:00"/>
    <d v="2019-04-16T00:00:00"/>
    <n v="0"/>
    <s v="USD"/>
    <n v="425"/>
    <m/>
    <x v="6"/>
    <x v="11"/>
    <n v="425"/>
  </r>
  <r>
    <n v="783"/>
    <s v="RDT201905155"/>
    <x v="0"/>
    <x v="9"/>
    <x v="15"/>
    <s v="Australia"/>
    <s v="Sri Lanka"/>
    <x v="2"/>
    <s v="Mr Adrian Lloyd"/>
    <s v="lloydadrian@hotmail.com"/>
    <d v="2019-05-10T00:00:00"/>
    <d v="2019-04-16T00:00:00"/>
    <d v="2019-04-16T00:00:00"/>
    <n v="0"/>
    <s v="USD"/>
    <n v="472"/>
    <m/>
    <x v="6"/>
    <x v="11"/>
    <n v="472"/>
  </r>
  <r>
    <n v="784"/>
    <s v="RDT201905154"/>
    <x v="0"/>
    <x v="9"/>
    <x v="15"/>
    <s v="United Kingdom"/>
    <s v="Sri Lanka"/>
    <x v="1"/>
    <s v="Mr Miriam Dwek"/>
    <s v="miriamdwek@hotmail.com"/>
    <d v="2019-05-10T00:00:00"/>
    <d v="2019-04-14T00:00:00"/>
    <d v="2019-04-14T00:00:00"/>
    <n v="0"/>
    <s v="USD"/>
    <n v="527"/>
    <m/>
    <x v="6"/>
    <x v="11"/>
    <n v="527"/>
  </r>
  <r>
    <n v="785"/>
    <s v="RDT201905153"/>
    <x v="0"/>
    <x v="9"/>
    <x v="15"/>
    <s v="China"/>
    <s v="Sri Lanka"/>
    <x v="49"/>
    <s v="Mr Su LI Chan"/>
    <s v="Sulichan22@hotmail.com"/>
    <d v="2019-05-10T00:00:00"/>
    <d v="2019-04-13T00:00:00"/>
    <d v="2019-04-13T00:00:00"/>
    <n v="0"/>
    <s v="USD"/>
    <n v="520"/>
    <m/>
    <x v="6"/>
    <x v="11"/>
    <n v="520"/>
  </r>
  <r>
    <n v="786"/>
    <s v="RDT201905152"/>
    <x v="0"/>
    <x v="9"/>
    <x v="15"/>
    <s v="United Kingdom"/>
    <s v="Sri Lanka"/>
    <x v="1"/>
    <s v="Mr Philip Bergqvist"/>
    <s v="Philip@bergqvist.co.uk"/>
    <d v="2019-05-10T00:00:00"/>
    <d v="2019-04-12T00:00:00"/>
    <d v="2019-04-12T00:00:00"/>
    <n v="0"/>
    <s v="USD"/>
    <n v="345"/>
    <m/>
    <x v="6"/>
    <x v="11"/>
    <n v="345"/>
  </r>
  <r>
    <n v="787"/>
    <s v="RDT201905151"/>
    <x v="0"/>
    <x v="9"/>
    <x v="15"/>
    <s v="United Kingdom"/>
    <s v="Sri Lanka"/>
    <x v="1"/>
    <s v="Mr Stuart Martin"/>
    <s v="swmartin44@btinternet.com"/>
    <d v="2019-05-10T00:00:00"/>
    <d v="2019-04-09T00:00:00"/>
    <d v="2019-04-09T00:00:00"/>
    <n v="0"/>
    <s v="USD"/>
    <n v="938"/>
    <m/>
    <x v="6"/>
    <x v="11"/>
    <n v="938"/>
  </r>
  <r>
    <n v="788"/>
    <s v="RDT201905150"/>
    <x v="0"/>
    <x v="9"/>
    <x v="15"/>
    <s v="United Kingdom"/>
    <s v="Sri Lanka"/>
    <x v="1"/>
    <s v="Mr Jillian Rogers"/>
    <s v="jillian.goh@gmail.com"/>
    <d v="2019-05-10T00:00:00"/>
    <d v="2019-05-05T00:00:00"/>
    <d v="2019-05-05T00:00:00"/>
    <n v="0"/>
    <s v="USD"/>
    <n v="1003"/>
    <m/>
    <x v="6"/>
    <x v="10"/>
    <n v="1003"/>
  </r>
  <r>
    <n v="789"/>
    <s v="RDT201905143"/>
    <x v="0"/>
    <x v="9"/>
    <x v="20"/>
    <s v="United Kingdom"/>
    <s v="Sri Lanka"/>
    <x v="1"/>
    <s v="Mr Whilliam Fredrick Kelly"/>
    <s v="fred.f.kelly@gmail.com"/>
    <d v="2019-05-08T00:00:00"/>
    <d v="2019-04-09T00:00:00"/>
    <d v="2019-04-25T00:00:00"/>
    <n v="16"/>
    <s v="USD"/>
    <n v="1572.44"/>
    <m/>
    <x v="6"/>
    <x v="11"/>
    <n v="1572.44"/>
  </r>
  <r>
    <n v="790"/>
    <s v="SLIS201904135"/>
    <x v="1"/>
    <x v="9"/>
    <x v="25"/>
    <s v="Spain"/>
    <s v="Sri Lanka"/>
    <x v="18"/>
    <s v="Mrs Rosa Maria Costales Blanco"/>
    <s v="rosacostalescb@hotmail.com"/>
    <d v="2019-04-24T00:00:00"/>
    <d v="2019-07-22T00:00:00"/>
    <d v="2019-08-02T00:00:00"/>
    <n v="11"/>
    <s v="USD"/>
    <n v="11494"/>
    <m/>
    <x v="6"/>
    <x v="8"/>
    <n v="11494"/>
  </r>
  <r>
    <n v="791"/>
    <s v="RDT201904120"/>
    <x v="0"/>
    <x v="9"/>
    <x v="15"/>
    <s v="United Kingdom"/>
    <s v="Sri Lanka"/>
    <x v="1"/>
    <s v="Mr Lisa Luckhoo"/>
    <s v="lisaluckhoo@yahoo.co.uk"/>
    <d v="2019-04-19T00:00:00"/>
    <d v="2019-08-05T00:00:00"/>
    <d v="2019-08-08T00:00:00"/>
    <n v="3"/>
    <s v="USD"/>
    <n v="510"/>
    <m/>
    <x v="6"/>
    <x v="7"/>
    <n v="510"/>
  </r>
  <r>
    <n v="792"/>
    <s v="RDT201904118"/>
    <x v="0"/>
    <x v="9"/>
    <x v="15"/>
    <s v="France"/>
    <s v="Sri Lanka"/>
    <x v="14"/>
    <s v="Mr Darde Thierry"/>
    <s v="dardethierry@gmail.com"/>
    <d v="2019-04-18T00:00:00"/>
    <d v="2019-11-10T00:00:00"/>
    <d v="2019-11-15T00:00:00"/>
    <n v="5"/>
    <s v="USD"/>
    <n v="335"/>
    <m/>
    <x v="6"/>
    <x v="4"/>
    <n v="335"/>
  </r>
  <r>
    <n v="793"/>
    <s v="RDT201904101"/>
    <x v="0"/>
    <x v="9"/>
    <x v="15"/>
    <s v="United Kingdom"/>
    <s v="Sri Lanka"/>
    <x v="1"/>
    <s v="Mr Emma H owe"/>
    <s v="mmalucyhowe@gmail.com"/>
    <d v="2019-04-12T00:00:00"/>
    <d v="2019-04-19T00:00:00"/>
    <d v="2019-04-19T00:00:00"/>
    <n v="0"/>
    <s v="USD"/>
    <n v="649"/>
    <m/>
    <x v="6"/>
    <x v="11"/>
    <n v="649"/>
  </r>
  <r>
    <n v="794"/>
    <s v="RDT20190487"/>
    <x v="0"/>
    <x v="9"/>
    <x v="4"/>
    <s v="Australia"/>
    <s v="Sri Lanka"/>
    <x v="2"/>
    <s v="Mr John Austin"/>
    <s v="austinjohn@outlook.com"/>
    <d v="2019-04-11T00:00:00"/>
    <d v="2019-07-13T00:00:00"/>
    <d v="2019-07-19T00:00:00"/>
    <n v="6"/>
    <s v="USD"/>
    <n v="2598"/>
    <m/>
    <x v="6"/>
    <x v="8"/>
    <n v="2598"/>
  </r>
  <r>
    <n v="795"/>
    <s v="RDT20190470"/>
    <x v="0"/>
    <x v="9"/>
    <x v="15"/>
    <s v="United Kingdom"/>
    <s v="Sri Lanka"/>
    <x v="1"/>
    <s v="Mr Albert Arbuthnott"/>
    <s v="albertarbuthnott@gmail.com"/>
    <d v="2019-04-09T00:00:00"/>
    <d v="2019-04-13T00:00:00"/>
    <d v="2019-04-13T00:00:00"/>
    <n v="0"/>
    <s v="USD"/>
    <n v="89"/>
    <m/>
    <x v="6"/>
    <x v="11"/>
    <n v="89"/>
  </r>
  <r>
    <n v="796"/>
    <s v="RDT20190468"/>
    <x v="0"/>
    <x v="9"/>
    <x v="4"/>
    <s v="United Kingdom"/>
    <s v="Sri Lanka"/>
    <x v="1"/>
    <s v="Ms Laila Stange"/>
    <s v="ailastange@gmail.com"/>
    <d v="2019-04-09T00:00:00"/>
    <d v="2019-12-20T00:00:00"/>
    <d v="2019-12-28T00:00:00"/>
    <n v="8"/>
    <s v="USD"/>
    <n v="31543.01"/>
    <m/>
    <x v="6"/>
    <x v="3"/>
    <n v="31543.01"/>
  </r>
  <r>
    <n v="797"/>
    <s v="SLIS20190464"/>
    <x v="1"/>
    <x v="9"/>
    <x v="28"/>
    <s v="Australia"/>
    <s v="Sri Lanka"/>
    <x v="2"/>
    <s v="Ms Dr Ruvanya Illensinghe"/>
    <s v="ruvanya.illesinghe@gmail.com"/>
    <d v="2019-04-09T00:00:00"/>
    <d v="2019-06-21T00:00:00"/>
    <d v="2019-07-07T00:00:00"/>
    <n v="16"/>
    <s v="USD"/>
    <n v="5845.01"/>
    <m/>
    <x v="6"/>
    <x v="9"/>
    <n v="5845.01"/>
  </r>
  <r>
    <n v="798"/>
    <s v="RDT20190452"/>
    <x v="0"/>
    <x v="9"/>
    <x v="4"/>
    <s v="United Kingdom"/>
    <s v="Sri Lanka"/>
    <x v="1"/>
    <s v="Mr  Jeremy  Clayton"/>
    <s v="jeremy.clayton@ewpepper.co.uk"/>
    <d v="2019-04-08T00:00:00"/>
    <d v="2020-02-15T00:00:00"/>
    <d v="2020-03-05T00:00:00"/>
    <n v="19"/>
    <s v="USD"/>
    <n v="18801.990000000002"/>
    <m/>
    <x v="5"/>
    <x v="1"/>
    <n v="18801.990000000002"/>
  </r>
  <r>
    <n v="799"/>
    <s v="RDT20190444"/>
    <x v="0"/>
    <x v="9"/>
    <x v="15"/>
    <s v="United Kingdom"/>
    <s v="Sri Lanka"/>
    <x v="1"/>
    <s v="Mr Robert Anthony Parker"/>
    <s v="rob@gardenperfect.com"/>
    <d v="2019-04-06T00:00:00"/>
    <d v="2019-04-09T00:00:00"/>
    <d v="2019-04-09T00:00:00"/>
    <n v="0"/>
    <s v="USD"/>
    <n v="410"/>
    <m/>
    <x v="6"/>
    <x v="11"/>
    <n v="410"/>
  </r>
  <r>
    <n v="800"/>
    <s v="RDT20190438"/>
    <x v="0"/>
    <x v="9"/>
    <x v="4"/>
    <s v="Guatemala"/>
    <s v="Sri Lanka"/>
    <x v="50"/>
    <s v="Ms Regina Solares"/>
    <s v="areginasl@yahoo.com"/>
    <d v="2019-04-05T00:00:00"/>
    <d v="2019-04-23T00:00:00"/>
    <d v="2019-04-24T00:00:00"/>
    <n v="1"/>
    <s v="USD"/>
    <n v="118"/>
    <m/>
    <x v="6"/>
    <x v="11"/>
    <n v="118"/>
  </r>
  <r>
    <n v="801"/>
    <s v="RDT20190412"/>
    <x v="0"/>
    <x v="9"/>
    <x v="4"/>
    <s v="United Kingdom"/>
    <s v="Sri Lanka"/>
    <x v="1"/>
    <s v="Ms KRISHNASWAMY SETHUMADHAVAN"/>
    <s v="pappudu@gmail.com"/>
    <d v="2019-04-02T00:00:00"/>
    <d v="2019-08-05T00:00:00"/>
    <d v="2019-08-11T00:00:00"/>
    <n v="6"/>
    <s v="USD"/>
    <n v="12596"/>
    <m/>
    <x v="6"/>
    <x v="7"/>
    <n v="12596"/>
  </r>
  <r>
    <n v="802"/>
    <s v="RDT20190410"/>
    <x v="0"/>
    <x v="9"/>
    <x v="15"/>
    <s v="Australia"/>
    <s v="Sri Lanka"/>
    <x v="2"/>
    <s v="Mr Marina Albrecht"/>
    <s v="urbanizma@gmail.com"/>
    <d v="2019-04-01T00:00:00"/>
    <d v="2019-04-20T00:00:00"/>
    <d v="2019-04-27T00:00:00"/>
    <n v="7"/>
    <s v="USD"/>
    <n v="255"/>
    <m/>
    <x v="6"/>
    <x v="11"/>
    <n v="255"/>
  </r>
  <r>
    <n v="803"/>
    <s v="SLIS2019048"/>
    <x v="1"/>
    <x v="9"/>
    <x v="2"/>
    <s v="United States of America"/>
    <s v="Sri Lanka"/>
    <x v="0"/>
    <s v="Mrs Jennifer Andrews"/>
    <s v=",jandrews8@gmail.com"/>
    <d v="2019-04-01T00:00:00"/>
    <d v="2020-01-19T00:00:00"/>
    <d v="2020-02-06T00:00:00"/>
    <n v="18"/>
    <s v="USD"/>
    <n v="29104.63"/>
    <m/>
    <x v="5"/>
    <x v="2"/>
    <n v="29104.63"/>
  </r>
  <r>
    <n v="804"/>
    <s v="SLIS2019046"/>
    <x v="1"/>
    <x v="9"/>
    <x v="13"/>
    <s v="Hong Kong"/>
    <s v="Sri Lanka"/>
    <x v="7"/>
    <s v="Mr Diane  Nittke"/>
    <s v="diane_nittke@mac.com"/>
    <d v="2019-04-01T00:00:00"/>
    <d v="2019-04-11T00:00:00"/>
    <d v="2019-04-22T00:00:00"/>
    <n v="11"/>
    <s v="USD"/>
    <n v="10403.34"/>
    <m/>
    <x v="6"/>
    <x v="11"/>
    <n v="10403.34"/>
  </r>
  <r>
    <n v="805"/>
    <s v="RDT2019034"/>
    <x v="0"/>
    <x v="9"/>
    <x v="15"/>
    <s v="United Kingdom"/>
    <s v="Sri Lanka"/>
    <x v="1"/>
    <s v="Mr Andrew Came"/>
    <s v="Came.andrew@gmail.com / anlisacame@yahoo.co.uk"/>
    <d v="2019-03-31T00:00:00"/>
    <d v="2019-04-02T00:00:00"/>
    <d v="2019-04-02T00:00:00"/>
    <n v="0"/>
    <s v="USD"/>
    <n v="125"/>
    <m/>
    <x v="6"/>
    <x v="11"/>
    <n v="125"/>
  </r>
  <r>
    <m/>
    <m/>
    <x v="2"/>
    <x v="9"/>
    <x v="38"/>
    <m/>
    <m/>
    <x v="51"/>
    <m/>
    <m/>
    <m/>
    <m/>
    <m/>
    <m/>
    <m/>
    <m/>
    <m/>
    <x v="1"/>
    <x v="12"/>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17" firstHeaderRow="1" firstDataRow="1" firstDataCol="1" rowPageCount="1" colPageCount="1"/>
  <pivotFields count="20">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Page" multipleItemSelectionAllowed="1" showAll="0">
      <items count="9">
        <item x="6"/>
        <item x="5"/>
        <item x="4"/>
        <item x="3"/>
        <item x="2"/>
        <item x="0"/>
        <item x="1"/>
        <item m="1" x="7"/>
        <item t="default"/>
      </items>
    </pivotField>
    <pivotField axis="axisRow" showAll="0">
      <items count="14">
        <item x="2"/>
        <item x="1"/>
        <item x="0"/>
        <item x="11"/>
        <item x="10"/>
        <item x="9"/>
        <item x="8"/>
        <item x="7"/>
        <item x="6"/>
        <item x="5"/>
        <item x="4"/>
        <item x="3"/>
        <item x="12"/>
        <item t="default"/>
      </items>
    </pivotField>
    <pivotField showAll="0"/>
  </pivotFields>
  <rowFields count="1">
    <field x="18"/>
  </rowFields>
  <rowItems count="14">
    <i>
      <x/>
    </i>
    <i>
      <x v="1"/>
    </i>
    <i>
      <x v="2"/>
    </i>
    <i>
      <x v="3"/>
    </i>
    <i>
      <x v="4"/>
    </i>
    <i>
      <x v="5"/>
    </i>
    <i>
      <x v="6"/>
    </i>
    <i>
      <x v="7"/>
    </i>
    <i>
      <x v="8"/>
    </i>
    <i>
      <x v="9"/>
    </i>
    <i>
      <x v="10"/>
    </i>
    <i>
      <x v="11"/>
    </i>
    <i>
      <x v="12"/>
    </i>
    <i t="grand">
      <x/>
    </i>
  </rowItems>
  <colItems count="1">
    <i/>
  </colItems>
  <pageFields count="1">
    <pageField fld="17" hier="-1"/>
  </pageFields>
  <dataFields count="1">
    <dataField name="Sum of Night" fld="13" baseField="0" baseItem="0"/>
  </dataFields>
  <chartFormats count="1">
    <chartFormat chart="1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14" firstHeaderRow="1" firstDataRow="1" firstDataCol="1" rowPageCount="1" colPageCount="1"/>
  <pivotFields count="20">
    <pivotField showAll="0"/>
    <pivotField showAll="0"/>
    <pivotField showAll="0">
      <items count="4">
        <item x="0"/>
        <item x="1"/>
        <item x="2"/>
        <item t="default"/>
      </items>
    </pivotField>
    <pivotField showAll="0"/>
    <pivotField showAll="0"/>
    <pivotField showAll="0"/>
    <pivotField showAll="0"/>
    <pivotField axis="axisRow" showAll="0" measureFilter="1">
      <items count="53">
        <item x="0"/>
        <item x="48"/>
        <item x="29"/>
        <item x="2"/>
        <item x="24"/>
        <item x="26"/>
        <item x="8"/>
        <item x="31"/>
        <item x="41"/>
        <item x="1"/>
        <item x="5"/>
        <item x="34"/>
        <item x="49"/>
        <item x="6"/>
        <item x="42"/>
        <item x="17"/>
        <item x="10"/>
        <item x="46"/>
        <item x="40"/>
        <item x="14"/>
        <item x="7"/>
        <item x="45"/>
        <item x="50"/>
        <item x="38"/>
        <item x="28"/>
        <item x="12"/>
        <item x="13"/>
        <item x="11"/>
        <item x="36"/>
        <item x="39"/>
        <item x="47"/>
        <item x="37"/>
        <item x="3"/>
        <item x="16"/>
        <item x="25"/>
        <item x="19"/>
        <item x="43"/>
        <item x="44"/>
        <item x="27"/>
        <item x="15"/>
        <item x="32"/>
        <item x="23"/>
        <item x="22"/>
        <item x="4"/>
        <item x="33"/>
        <item x="30"/>
        <item x="18"/>
        <item x="9"/>
        <item x="35"/>
        <item x="21"/>
        <item x="20"/>
        <item x="51"/>
        <item t="default"/>
      </items>
    </pivotField>
    <pivotField showAll="0"/>
    <pivotField showAll="0"/>
    <pivotField showAll="0"/>
    <pivotField showAll="0"/>
    <pivotField showAll="0"/>
    <pivotField dataField="1" showAll="0"/>
    <pivotField showAll="0"/>
    <pivotField showAll="0"/>
    <pivotField showAll="0"/>
    <pivotField axis="axisPage" multipleItemSelectionAllowed="1" showAll="0">
      <items count="9">
        <item x="6"/>
        <item x="5"/>
        <item x="4"/>
        <item x="3"/>
        <item x="2"/>
        <item x="0"/>
        <item x="1"/>
        <item m="1" x="7"/>
        <item t="default"/>
      </items>
    </pivotField>
    <pivotField showAll="0">
      <items count="14">
        <item x="2"/>
        <item x="1"/>
        <item x="0"/>
        <item x="11"/>
        <item x="10"/>
        <item x="9"/>
        <item x="8"/>
        <item x="7"/>
        <item x="6"/>
        <item x="5"/>
        <item x="4"/>
        <item x="3"/>
        <item x="12"/>
        <item t="default"/>
      </items>
    </pivotField>
    <pivotField showAll="0"/>
  </pivotFields>
  <rowFields count="1">
    <field x="7"/>
  </rowFields>
  <rowItems count="11">
    <i>
      <x/>
    </i>
    <i>
      <x v="3"/>
    </i>
    <i>
      <x v="9"/>
    </i>
    <i>
      <x v="10"/>
    </i>
    <i>
      <x v="19"/>
    </i>
    <i>
      <x v="20"/>
    </i>
    <i>
      <x v="25"/>
    </i>
    <i>
      <x v="43"/>
    </i>
    <i>
      <x v="46"/>
    </i>
    <i>
      <x v="47"/>
    </i>
    <i t="grand">
      <x/>
    </i>
  </rowItems>
  <colItems count="1">
    <i/>
  </colItems>
  <pageFields count="1">
    <pageField fld="17" hier="-1"/>
  </pageFields>
  <dataFields count="1">
    <dataField name="Sum of Night" fld="13" baseField="0" baseItem="0"/>
  </dataFields>
  <chartFormats count="2">
    <chartFormat chart="8"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A3:C14" firstHeaderRow="0" firstDataRow="1" firstDataCol="1" rowPageCount="1" colPageCount="1"/>
  <pivotFields count="20">
    <pivotField showAll="0"/>
    <pivotField showAll="0"/>
    <pivotField showAll="0">
      <items count="4">
        <item x="0"/>
        <item x="1"/>
        <item x="2"/>
        <item t="default"/>
      </items>
    </pivotField>
    <pivotField showAll="0"/>
    <pivotField axis="axisRow" showAll="0" measureFilter="1">
      <items count="40">
        <item x="30"/>
        <item x="13"/>
        <item x="35"/>
        <item x="11"/>
        <item x="16"/>
        <item x="25"/>
        <item x="27"/>
        <item x="37"/>
        <item x="18"/>
        <item x="34"/>
        <item x="8"/>
        <item x="3"/>
        <item x="1"/>
        <item x="19"/>
        <item x="17"/>
        <item x="15"/>
        <item x="24"/>
        <item x="32"/>
        <item x="5"/>
        <item x="29"/>
        <item x="6"/>
        <item x="4"/>
        <item x="33"/>
        <item x="28"/>
        <item x="26"/>
        <item x="20"/>
        <item x="9"/>
        <item x="22"/>
        <item x="2"/>
        <item x="21"/>
        <item x="7"/>
        <item x="31"/>
        <item x="10"/>
        <item x="14"/>
        <item x="12"/>
        <item x="0"/>
        <item x="23"/>
        <item x="36"/>
        <item x="38"/>
        <item t="default"/>
      </items>
    </pivotField>
    <pivotField showAll="0"/>
    <pivotField showAll="0"/>
    <pivotField showAll="0" measureFilter="1"/>
    <pivotField showAll="0"/>
    <pivotField showAll="0"/>
    <pivotField showAll="0"/>
    <pivotField showAll="0"/>
    <pivotField showAll="0"/>
    <pivotField dataField="1" showAll="0"/>
    <pivotField showAll="0"/>
    <pivotField showAll="0"/>
    <pivotField showAll="0"/>
    <pivotField axis="axisPage" multipleItemSelectionAllowed="1" showAll="0">
      <items count="9">
        <item x="6"/>
        <item x="5"/>
        <item x="4"/>
        <item x="3"/>
        <item x="2"/>
        <item x="0"/>
        <item x="1"/>
        <item m="1" x="7"/>
        <item t="default"/>
      </items>
    </pivotField>
    <pivotField showAll="0">
      <items count="14">
        <item x="2"/>
        <item x="1"/>
        <item x="0"/>
        <item x="11"/>
        <item x="10"/>
        <item x="9"/>
        <item x="8"/>
        <item x="7"/>
        <item x="6"/>
        <item x="5"/>
        <item x="4"/>
        <item x="3"/>
        <item x="12"/>
        <item t="default"/>
      </items>
    </pivotField>
    <pivotField dataField="1" showAll="0"/>
  </pivotFields>
  <rowFields count="1">
    <field x="4"/>
  </rowFields>
  <rowItems count="11">
    <i>
      <x v="1"/>
    </i>
    <i>
      <x v="8"/>
    </i>
    <i>
      <x v="10"/>
    </i>
    <i>
      <x v="11"/>
    </i>
    <i>
      <x v="13"/>
    </i>
    <i>
      <x v="15"/>
    </i>
    <i>
      <x v="21"/>
    </i>
    <i>
      <x v="28"/>
    </i>
    <i>
      <x v="33"/>
    </i>
    <i>
      <x v="35"/>
    </i>
    <i t="grand">
      <x/>
    </i>
  </rowItems>
  <colFields count="1">
    <field x="-2"/>
  </colFields>
  <colItems count="2">
    <i>
      <x/>
    </i>
    <i i="1">
      <x v="1"/>
    </i>
  </colItems>
  <pageFields count="1">
    <pageField fld="17" hier="-1"/>
  </pageFields>
  <dataFields count="2">
    <dataField name="Sum of Night" fld="13" baseField="0" baseItem="0"/>
    <dataField name="Sum of value" fld="19" baseField="0" baseItem="0" numFmtId="3"/>
  </dataFields>
  <formats count="2">
    <format dxfId="1">
      <pivotArea outline="0" collapsedLevelsAreSubtotals="1" fieldPosition="0">
        <references count="1">
          <reference field="4294967294" count="1" selected="0">
            <x v="1"/>
          </reference>
        </references>
      </pivotArea>
    </format>
    <format dxfId="0">
      <pivotArea dataOnly="0" labelOnly="1" outline="0" fieldPosition="0">
        <references count="1">
          <reference field="4294967294" count="1">
            <x v="1"/>
          </reference>
        </references>
      </pivotArea>
    </format>
  </formats>
  <chartFormats count="4">
    <chartFormat chart="8"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1"/>
          </reference>
        </references>
      </pivotArea>
    </chartFormat>
    <chartFormat chart="29"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7" type="count" evalOrder="-1" id="1" iMeasureFld="0">
      <autoFilter ref="A1">
        <filterColumn colId="0">
          <top10 val="10" filterVal="10"/>
        </filterColumn>
      </autoFilter>
    </filter>
    <filter fld="4"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4:B8" firstHeaderRow="1" firstDataRow="1" firstDataCol="1" rowPageCount="1" colPageCount="1"/>
  <pivotFields count="20">
    <pivotField showAll="0"/>
    <pivotField showAll="0"/>
    <pivotField axis="axisRow" showAll="0">
      <items count="4">
        <item x="0"/>
        <item x="1"/>
        <item x="2"/>
        <item t="default"/>
      </items>
    </pivotField>
    <pivotField showAll="0"/>
    <pivotField showAll="0"/>
    <pivotField showAll="0"/>
    <pivotField showAll="0"/>
    <pivotField showAll="0" measureFilter="1"/>
    <pivotField showAll="0"/>
    <pivotField showAll="0"/>
    <pivotField showAll="0"/>
    <pivotField showAll="0"/>
    <pivotField showAll="0"/>
    <pivotField dataField="1" showAll="0"/>
    <pivotField showAll="0"/>
    <pivotField showAll="0"/>
    <pivotField showAll="0"/>
    <pivotField axis="axisPage" multipleItemSelectionAllowed="1" showAll="0">
      <items count="9">
        <item x="6"/>
        <item x="5"/>
        <item x="4"/>
        <item x="3"/>
        <item x="2"/>
        <item x="0"/>
        <item x="1"/>
        <item m="1" x="7"/>
        <item t="default"/>
      </items>
    </pivotField>
    <pivotField showAll="0">
      <items count="14">
        <item x="2"/>
        <item x="1"/>
        <item x="0"/>
        <item x="11"/>
        <item x="10"/>
        <item x="9"/>
        <item x="8"/>
        <item x="7"/>
        <item x="6"/>
        <item x="5"/>
        <item x="4"/>
        <item x="3"/>
        <item x="12"/>
        <item t="default"/>
      </items>
    </pivotField>
    <pivotField showAll="0"/>
  </pivotFields>
  <rowFields count="1">
    <field x="2"/>
  </rowFields>
  <rowItems count="4">
    <i>
      <x/>
    </i>
    <i>
      <x v="1"/>
    </i>
    <i>
      <x v="2"/>
    </i>
    <i t="grand">
      <x/>
    </i>
  </rowItems>
  <colItems count="1">
    <i/>
  </colItems>
  <pageFields count="1">
    <pageField fld="17" hier="-1"/>
  </pageFields>
  <dataFields count="1">
    <dataField name="Sum of Night" fld="13" baseField="0" baseItem="0"/>
  </dataFields>
  <chartFormats count="6">
    <chartFormat chart="8"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9" format="8" series="1">
      <pivotArea type="data" outline="0" fieldPosition="0">
        <references count="1">
          <reference field="4294967294" count="1" selected="0">
            <x v="0"/>
          </reference>
        </references>
      </pivotArea>
    </chartFormat>
    <chartFormat chart="19" format="9">
      <pivotArea type="data" outline="0" fieldPosition="0">
        <references count="2">
          <reference field="4294967294" count="1" selected="0">
            <x v="0"/>
          </reference>
          <reference field="2" count="1" selected="0">
            <x v="0"/>
          </reference>
        </references>
      </pivotArea>
    </chartFormat>
    <chartFormat chart="19" format="10">
      <pivotArea type="data" outline="0" fieldPosition="0">
        <references count="2">
          <reference field="4294967294" count="1" selected="0">
            <x v="0"/>
          </reference>
          <reference field="2" count="1" selected="0">
            <x v="1"/>
          </reference>
        </references>
      </pivotArea>
    </chartFormat>
    <chartFormat chart="19" format="11">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11" firstHeaderRow="1" firstDataRow="1" firstDataCol="1"/>
  <pivotFields count="20">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items count="9">
        <item x="6"/>
        <item x="5"/>
        <item x="4"/>
        <item x="3"/>
        <item x="2"/>
        <item x="0"/>
        <item x="1"/>
        <item m="1" x="7"/>
        <item t="default"/>
      </items>
    </pivotField>
    <pivotField showAll="0">
      <items count="14">
        <item x="2"/>
        <item x="1"/>
        <item x="0"/>
        <item x="11"/>
        <item x="10"/>
        <item x="9"/>
        <item x="8"/>
        <item x="7"/>
        <item x="6"/>
        <item x="5"/>
        <item x="4"/>
        <item x="3"/>
        <item x="12"/>
        <item t="default"/>
      </items>
    </pivotField>
    <pivotField showAll="0"/>
  </pivotFields>
  <rowFields count="1">
    <field x="17"/>
  </rowFields>
  <rowItems count="8">
    <i>
      <x/>
    </i>
    <i>
      <x v="1"/>
    </i>
    <i>
      <x v="2"/>
    </i>
    <i>
      <x v="3"/>
    </i>
    <i>
      <x v="4"/>
    </i>
    <i>
      <x v="5"/>
    </i>
    <i>
      <x v="6"/>
    </i>
    <i t="grand">
      <x/>
    </i>
  </rowItems>
  <colItems count="1">
    <i/>
  </colItems>
  <dataFields count="1">
    <dataField name="Sum of Night" fld="13" baseField="0" baseItem="0"/>
  </dataFields>
  <chartFormats count="2">
    <chartFormat chart="8"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3:B13" firstHeaderRow="1" firstDataRow="1" firstDataCol="1" rowPageCount="1" colPageCount="1"/>
  <pivotFields count="20">
    <pivotField showAll="0"/>
    <pivotField showAll="0"/>
    <pivotField showAll="0">
      <items count="4">
        <item x="0"/>
        <item x="1"/>
        <item x="2"/>
        <item t="default"/>
      </items>
    </pivotField>
    <pivotField axis="axisRow" showAll="0" measureFilter="1">
      <items count="11">
        <item x="8"/>
        <item x="5"/>
        <item x="1"/>
        <item x="3"/>
        <item x="6"/>
        <item x="2"/>
        <item x="0"/>
        <item x="4"/>
        <item x="7"/>
        <item x="9"/>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Page" multipleItemSelectionAllowed="1" showAll="0">
      <items count="9">
        <item x="6"/>
        <item x="5"/>
        <item x="4"/>
        <item x="3"/>
        <item x="2"/>
        <item x="0"/>
        <item x="1"/>
        <item m="1" x="7"/>
        <item t="default"/>
      </items>
    </pivotField>
    <pivotField showAll="0">
      <items count="14">
        <item x="2"/>
        <item x="1"/>
        <item x="0"/>
        <item x="11"/>
        <item x="10"/>
        <item x="9"/>
        <item x="8"/>
        <item x="7"/>
        <item x="6"/>
        <item x="5"/>
        <item x="4"/>
        <item x="3"/>
        <item x="12"/>
        <item t="default"/>
      </items>
    </pivotField>
    <pivotField showAll="0"/>
  </pivotFields>
  <rowFields count="1">
    <field x="3"/>
  </rowFields>
  <rowItems count="10">
    <i>
      <x/>
    </i>
    <i>
      <x v="1"/>
    </i>
    <i>
      <x v="2"/>
    </i>
    <i>
      <x v="3"/>
    </i>
    <i>
      <x v="4"/>
    </i>
    <i>
      <x v="5"/>
    </i>
    <i>
      <x v="6"/>
    </i>
    <i>
      <x v="7"/>
    </i>
    <i>
      <x v="9"/>
    </i>
    <i t="grand">
      <x/>
    </i>
  </rowItems>
  <colItems count="1">
    <i/>
  </colItems>
  <pageFields count="1">
    <pageField fld="17" hier="-1"/>
  </pageFields>
  <dataFields count="1">
    <dataField name="Sum of Night" fld="13" baseField="0" baseItem="0"/>
  </dataFields>
  <chartFormats count="1">
    <chartFormat chart="2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valueNotEqual" evalOrder="-1" id="1" iMeasureFld="0">
      <autoFilter ref="A1">
        <filterColumn colId="0">
          <customFilters>
            <customFilter operator="notEqual" val="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Year" sourceName="Year">
  <pivotTables>
    <pivotTable tabId="2" name="PivotTable4"/>
    <pivotTable tabId="3" name="PivotTable5"/>
    <pivotTable tabId="4" name="PivotTable6"/>
    <pivotTable tabId="5" name="PivotTable7"/>
    <pivotTable tabId="8" name="PivotTable8"/>
    <pivotTable tabId="9" name="PivotTable9"/>
  </pivotTables>
  <data>
    <tabular pivotCacheId="704082269">
      <items count="8">
        <i x="6" s="1"/>
        <i x="5" s="1"/>
        <i x="4" s="1"/>
        <i x="3" s="1"/>
        <i x="2" s="1"/>
        <i x="0" s="1"/>
        <i x="1" s="1"/>
        <i x="7"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Agent" sourceName="Agent">
  <pivotTables>
    <pivotTable tabId="5" name="PivotTable7"/>
    <pivotTable tabId="2" name="PivotTable4"/>
    <pivotTable tabId="3" name="PivotTable5"/>
    <pivotTable tabId="4" name="PivotTable6"/>
    <pivotTable tabId="8" name="PivotTable8"/>
    <pivotTable tabId="9" name="PivotTable9"/>
  </pivotTables>
  <data>
    <tabular pivotCacheId="704082269">
      <items count="3">
        <i x="0" s="1"/>
        <i x="1" s="1"/>
        <i x="2"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Month" sourceName="Month">
  <pivotTables>
    <pivotTable tabId="2" name="PivotTable4"/>
    <pivotTable tabId="3" name="PivotTable5"/>
    <pivotTable tabId="4" name="PivotTable6"/>
    <pivotTable tabId="5" name="PivotTable7"/>
    <pivotTable tabId="8" name="PivotTable8"/>
    <pivotTable tabId="9" name="PivotTable9"/>
  </pivotTables>
  <data>
    <tabular pivotCacheId="704082269">
      <items count="13">
        <i x="2" s="1"/>
        <i x="1" s="1"/>
        <i x="0" s="1"/>
        <i x="11" s="1"/>
        <i x="10" s="1"/>
        <i x="9" s="1"/>
        <i x="8" s="1"/>
        <i x="7" s="1"/>
        <i x="6" s="1"/>
        <i x="5" s="1"/>
        <i x="4" s="1"/>
        <i x="3" s="1"/>
        <i x="1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Year" cache="Slicer_Year" caption="Year" rowHeight="247650"/>
  <slicer name="Month" cache="Slicer_Month" caption="Month" rowHeight="247650"/>
</slicers>
</file>

<file path=xl/slicers/slicer2.xml><?xml version="1.0" encoding="utf-8"?>
<slicers xmlns="http://schemas.microsoft.com/office/spreadsheetml/2009/9/main" xmlns:mc="http://schemas.openxmlformats.org/markup-compatibility/2006" xmlns:x="http://schemas.openxmlformats.org/spreadsheetml/2006/main" mc:Ignorable="x">
  <slicer name="Agent" cache="Slicer_Agent" caption="Agent" rowHeight="247650"/>
</slicers>
</file>

<file path=xl/slicers/slicer3.xml><?xml version="1.0" encoding="utf-8"?>
<slicers xmlns="http://schemas.microsoft.com/office/spreadsheetml/2009/9/main" xmlns:mc="http://schemas.openxmlformats.org/markup-compatibility/2006" xmlns:x="http://schemas.openxmlformats.org/spreadsheetml/2006/main" mc:Ignorable="x">
  <slicer name="Year 2" cache="Slicer_Year" caption="Year" rowHeight="247650"/>
</slicers>
</file>

<file path=xl/slicers/slicer4.xml><?xml version="1.0" encoding="utf-8"?>
<slicers xmlns="http://schemas.microsoft.com/office/spreadsheetml/2009/9/main" xmlns:mc="http://schemas.openxmlformats.org/markup-compatibility/2006" xmlns:x="http://schemas.openxmlformats.org/spreadsheetml/2006/main" mc:Ignorable="x">
  <slicer name="Year 3" cache="Slicer_Year" caption="Year" startItem="3" style="SlicerStyleDark3" rowHeight="247650"/>
  <slicer name="Agent 1" cache="Slicer_Agent" caption="Agent" rowHeight="247650"/>
  <slicer name="Month 1" cache="Slicer_Month" caption="Month" style="SlicerStyleDark5"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806"/>
  <sheetViews>
    <sheetView tabSelected="1" workbookViewId="0">
      <selection activeCell="D14" sqref="D14"/>
    </sheetView>
  </sheetViews>
  <sheetFormatPr defaultRowHeight="13.8"/>
  <cols>
    <col min="1" max="1" width="4.59765625" style="4" customWidth="1"/>
    <col min="2" max="2" width="20" customWidth="1"/>
    <col min="3" max="3" width="49.3984375" customWidth="1"/>
    <col min="4" max="4" width="30.59765625" customWidth="1"/>
    <col min="5" max="5" width="28.09765625" customWidth="1"/>
    <col min="6" max="6" width="29.3984375" customWidth="1"/>
    <col min="7" max="7" width="23.3984375" customWidth="1"/>
    <col min="8" max="8" width="33" customWidth="1"/>
    <col min="9" max="9" width="68.296875" customWidth="1"/>
    <col min="10" max="10" width="73" customWidth="1"/>
    <col min="11" max="11" width="22.296875" customWidth="1"/>
    <col min="12" max="12" width="16.296875" bestFit="1" customWidth="1"/>
    <col min="13" max="13" width="18.69921875" customWidth="1"/>
    <col min="14" max="14" width="18.69921875" style="7" customWidth="1"/>
    <col min="15" max="15" width="10.59765625" customWidth="1"/>
    <col min="16" max="16" width="21.09765625" customWidth="1"/>
    <col min="17" max="17" width="11.69921875" customWidth="1"/>
    <col min="18" max="21" width="9.09765625" customWidth="1"/>
    <col min="23" max="53" width="9.09765625" customWidth="1"/>
    <col min="257" max="257" width="4.59765625" customWidth="1"/>
    <col min="258" max="258" width="20" customWidth="1"/>
    <col min="259" max="259" width="49.3984375" customWidth="1"/>
    <col min="260" max="260" width="30.59765625" customWidth="1"/>
    <col min="261" max="261" width="28.09765625" customWidth="1"/>
    <col min="262" max="262" width="29.3984375" customWidth="1"/>
    <col min="263" max="263" width="23.3984375" customWidth="1"/>
    <col min="264" max="264" width="33" customWidth="1"/>
    <col min="265" max="265" width="68.296875" customWidth="1"/>
    <col min="266" max="266" width="73" customWidth="1"/>
    <col min="267" max="267" width="22.296875" customWidth="1"/>
    <col min="268" max="268" width="16.296875" bestFit="1" customWidth="1"/>
    <col min="269" max="270" width="18.69921875" customWidth="1"/>
    <col min="271" max="271" width="10.59765625" customWidth="1"/>
    <col min="272" max="272" width="21.09765625" customWidth="1"/>
    <col min="273" max="273" width="11.69921875" customWidth="1"/>
    <col min="274" max="309" width="9.09765625" customWidth="1"/>
    <col min="513" max="513" width="4.59765625" customWidth="1"/>
    <col min="514" max="514" width="20" customWidth="1"/>
    <col min="515" max="515" width="49.3984375" customWidth="1"/>
    <col min="516" max="516" width="30.59765625" customWidth="1"/>
    <col min="517" max="517" width="28.09765625" customWidth="1"/>
    <col min="518" max="518" width="29.3984375" customWidth="1"/>
    <col min="519" max="519" width="23.3984375" customWidth="1"/>
    <col min="520" max="520" width="33" customWidth="1"/>
    <col min="521" max="521" width="68.296875" customWidth="1"/>
    <col min="522" max="522" width="73" customWidth="1"/>
    <col min="523" max="523" width="22.296875" customWidth="1"/>
    <col min="524" max="524" width="16.296875" bestFit="1" customWidth="1"/>
    <col min="525" max="526" width="18.69921875" customWidth="1"/>
    <col min="527" max="527" width="10.59765625" customWidth="1"/>
    <col min="528" max="528" width="21.09765625" customWidth="1"/>
    <col min="529" max="529" width="11.69921875" customWidth="1"/>
    <col min="530" max="565" width="9.09765625" customWidth="1"/>
    <col min="769" max="769" width="4.59765625" customWidth="1"/>
    <col min="770" max="770" width="20" customWidth="1"/>
    <col min="771" max="771" width="49.3984375" customWidth="1"/>
    <col min="772" max="772" width="30.59765625" customWidth="1"/>
    <col min="773" max="773" width="28.09765625" customWidth="1"/>
    <col min="774" max="774" width="29.3984375" customWidth="1"/>
    <col min="775" max="775" width="23.3984375" customWidth="1"/>
    <col min="776" max="776" width="33" customWidth="1"/>
    <col min="777" max="777" width="68.296875" customWidth="1"/>
    <col min="778" max="778" width="73" customWidth="1"/>
    <col min="779" max="779" width="22.296875" customWidth="1"/>
    <col min="780" max="780" width="16.296875" bestFit="1" customWidth="1"/>
    <col min="781" max="782" width="18.69921875" customWidth="1"/>
    <col min="783" max="783" width="10.59765625" customWidth="1"/>
    <col min="784" max="784" width="21.09765625" customWidth="1"/>
    <col min="785" max="785" width="11.69921875" customWidth="1"/>
    <col min="786" max="821" width="9.09765625" customWidth="1"/>
    <col min="1025" max="1025" width="4.59765625" customWidth="1"/>
    <col min="1026" max="1026" width="20" customWidth="1"/>
    <col min="1027" max="1027" width="49.3984375" customWidth="1"/>
    <col min="1028" max="1028" width="30.59765625" customWidth="1"/>
    <col min="1029" max="1029" width="28.09765625" customWidth="1"/>
    <col min="1030" max="1030" width="29.3984375" customWidth="1"/>
    <col min="1031" max="1031" width="23.3984375" customWidth="1"/>
    <col min="1032" max="1032" width="33" customWidth="1"/>
    <col min="1033" max="1033" width="68.296875" customWidth="1"/>
    <col min="1034" max="1034" width="73" customWidth="1"/>
    <col min="1035" max="1035" width="22.296875" customWidth="1"/>
    <col min="1036" max="1036" width="16.296875" bestFit="1" customWidth="1"/>
    <col min="1037" max="1038" width="18.69921875" customWidth="1"/>
    <col min="1039" max="1039" width="10.59765625" customWidth="1"/>
    <col min="1040" max="1040" width="21.09765625" customWidth="1"/>
    <col min="1041" max="1041" width="11.69921875" customWidth="1"/>
    <col min="1042" max="1077" width="9.09765625" customWidth="1"/>
    <col min="1281" max="1281" width="4.59765625" customWidth="1"/>
    <col min="1282" max="1282" width="20" customWidth="1"/>
    <col min="1283" max="1283" width="49.3984375" customWidth="1"/>
    <col min="1284" max="1284" width="30.59765625" customWidth="1"/>
    <col min="1285" max="1285" width="28.09765625" customWidth="1"/>
    <col min="1286" max="1286" width="29.3984375" customWidth="1"/>
    <col min="1287" max="1287" width="23.3984375" customWidth="1"/>
    <col min="1288" max="1288" width="33" customWidth="1"/>
    <col min="1289" max="1289" width="68.296875" customWidth="1"/>
    <col min="1290" max="1290" width="73" customWidth="1"/>
    <col min="1291" max="1291" width="22.296875" customWidth="1"/>
    <col min="1292" max="1292" width="16.296875" bestFit="1" customWidth="1"/>
    <col min="1293" max="1294" width="18.69921875" customWidth="1"/>
    <col min="1295" max="1295" width="10.59765625" customWidth="1"/>
    <col min="1296" max="1296" width="21.09765625" customWidth="1"/>
    <col min="1297" max="1297" width="11.69921875" customWidth="1"/>
    <col min="1298" max="1333" width="9.09765625" customWidth="1"/>
    <col min="1537" max="1537" width="4.59765625" customWidth="1"/>
    <col min="1538" max="1538" width="20" customWidth="1"/>
    <col min="1539" max="1539" width="49.3984375" customWidth="1"/>
    <col min="1540" max="1540" width="30.59765625" customWidth="1"/>
    <col min="1541" max="1541" width="28.09765625" customWidth="1"/>
    <col min="1542" max="1542" width="29.3984375" customWidth="1"/>
    <col min="1543" max="1543" width="23.3984375" customWidth="1"/>
    <col min="1544" max="1544" width="33" customWidth="1"/>
    <col min="1545" max="1545" width="68.296875" customWidth="1"/>
    <col min="1546" max="1546" width="73" customWidth="1"/>
    <col min="1547" max="1547" width="22.296875" customWidth="1"/>
    <col min="1548" max="1548" width="16.296875" bestFit="1" customWidth="1"/>
    <col min="1549" max="1550" width="18.69921875" customWidth="1"/>
    <col min="1551" max="1551" width="10.59765625" customWidth="1"/>
    <col min="1552" max="1552" width="21.09765625" customWidth="1"/>
    <col min="1553" max="1553" width="11.69921875" customWidth="1"/>
    <col min="1554" max="1589" width="9.09765625" customWidth="1"/>
    <col min="1793" max="1793" width="4.59765625" customWidth="1"/>
    <col min="1794" max="1794" width="20" customWidth="1"/>
    <col min="1795" max="1795" width="49.3984375" customWidth="1"/>
    <col min="1796" max="1796" width="30.59765625" customWidth="1"/>
    <col min="1797" max="1797" width="28.09765625" customWidth="1"/>
    <col min="1798" max="1798" width="29.3984375" customWidth="1"/>
    <col min="1799" max="1799" width="23.3984375" customWidth="1"/>
    <col min="1800" max="1800" width="33" customWidth="1"/>
    <col min="1801" max="1801" width="68.296875" customWidth="1"/>
    <col min="1802" max="1802" width="73" customWidth="1"/>
    <col min="1803" max="1803" width="22.296875" customWidth="1"/>
    <col min="1804" max="1804" width="16.296875" bestFit="1" customWidth="1"/>
    <col min="1805" max="1806" width="18.69921875" customWidth="1"/>
    <col min="1807" max="1807" width="10.59765625" customWidth="1"/>
    <col min="1808" max="1808" width="21.09765625" customWidth="1"/>
    <col min="1809" max="1809" width="11.69921875" customWidth="1"/>
    <col min="1810" max="1845" width="9.09765625" customWidth="1"/>
    <col min="2049" max="2049" width="4.59765625" customWidth="1"/>
    <col min="2050" max="2050" width="20" customWidth="1"/>
    <col min="2051" max="2051" width="49.3984375" customWidth="1"/>
    <col min="2052" max="2052" width="30.59765625" customWidth="1"/>
    <col min="2053" max="2053" width="28.09765625" customWidth="1"/>
    <col min="2054" max="2054" width="29.3984375" customWidth="1"/>
    <col min="2055" max="2055" width="23.3984375" customWidth="1"/>
    <col min="2056" max="2056" width="33" customWidth="1"/>
    <col min="2057" max="2057" width="68.296875" customWidth="1"/>
    <col min="2058" max="2058" width="73" customWidth="1"/>
    <col min="2059" max="2059" width="22.296875" customWidth="1"/>
    <col min="2060" max="2060" width="16.296875" bestFit="1" customWidth="1"/>
    <col min="2061" max="2062" width="18.69921875" customWidth="1"/>
    <col min="2063" max="2063" width="10.59765625" customWidth="1"/>
    <col min="2064" max="2064" width="21.09765625" customWidth="1"/>
    <col min="2065" max="2065" width="11.69921875" customWidth="1"/>
    <col min="2066" max="2101" width="9.09765625" customWidth="1"/>
    <col min="2305" max="2305" width="4.59765625" customWidth="1"/>
    <col min="2306" max="2306" width="20" customWidth="1"/>
    <col min="2307" max="2307" width="49.3984375" customWidth="1"/>
    <col min="2308" max="2308" width="30.59765625" customWidth="1"/>
    <col min="2309" max="2309" width="28.09765625" customWidth="1"/>
    <col min="2310" max="2310" width="29.3984375" customWidth="1"/>
    <col min="2311" max="2311" width="23.3984375" customWidth="1"/>
    <col min="2312" max="2312" width="33" customWidth="1"/>
    <col min="2313" max="2313" width="68.296875" customWidth="1"/>
    <col min="2314" max="2314" width="73" customWidth="1"/>
    <col min="2315" max="2315" width="22.296875" customWidth="1"/>
    <col min="2316" max="2316" width="16.296875" bestFit="1" customWidth="1"/>
    <col min="2317" max="2318" width="18.69921875" customWidth="1"/>
    <col min="2319" max="2319" width="10.59765625" customWidth="1"/>
    <col min="2320" max="2320" width="21.09765625" customWidth="1"/>
    <col min="2321" max="2321" width="11.69921875" customWidth="1"/>
    <col min="2322" max="2357" width="9.09765625" customWidth="1"/>
    <col min="2561" max="2561" width="4.59765625" customWidth="1"/>
    <col min="2562" max="2562" width="20" customWidth="1"/>
    <col min="2563" max="2563" width="49.3984375" customWidth="1"/>
    <col min="2564" max="2564" width="30.59765625" customWidth="1"/>
    <col min="2565" max="2565" width="28.09765625" customWidth="1"/>
    <col min="2566" max="2566" width="29.3984375" customWidth="1"/>
    <col min="2567" max="2567" width="23.3984375" customWidth="1"/>
    <col min="2568" max="2568" width="33" customWidth="1"/>
    <col min="2569" max="2569" width="68.296875" customWidth="1"/>
    <col min="2570" max="2570" width="73" customWidth="1"/>
    <col min="2571" max="2571" width="22.296875" customWidth="1"/>
    <col min="2572" max="2572" width="16.296875" bestFit="1" customWidth="1"/>
    <col min="2573" max="2574" width="18.69921875" customWidth="1"/>
    <col min="2575" max="2575" width="10.59765625" customWidth="1"/>
    <col min="2576" max="2576" width="21.09765625" customWidth="1"/>
    <col min="2577" max="2577" width="11.69921875" customWidth="1"/>
    <col min="2578" max="2613" width="9.09765625" customWidth="1"/>
    <col min="2817" max="2817" width="4.59765625" customWidth="1"/>
    <col min="2818" max="2818" width="20" customWidth="1"/>
    <col min="2819" max="2819" width="49.3984375" customWidth="1"/>
    <col min="2820" max="2820" width="30.59765625" customWidth="1"/>
    <col min="2821" max="2821" width="28.09765625" customWidth="1"/>
    <col min="2822" max="2822" width="29.3984375" customWidth="1"/>
    <col min="2823" max="2823" width="23.3984375" customWidth="1"/>
    <col min="2824" max="2824" width="33" customWidth="1"/>
    <col min="2825" max="2825" width="68.296875" customWidth="1"/>
    <col min="2826" max="2826" width="73" customWidth="1"/>
    <col min="2827" max="2827" width="22.296875" customWidth="1"/>
    <col min="2828" max="2828" width="16.296875" bestFit="1" customWidth="1"/>
    <col min="2829" max="2830" width="18.69921875" customWidth="1"/>
    <col min="2831" max="2831" width="10.59765625" customWidth="1"/>
    <col min="2832" max="2832" width="21.09765625" customWidth="1"/>
    <col min="2833" max="2833" width="11.69921875" customWidth="1"/>
    <col min="2834" max="2869" width="9.09765625" customWidth="1"/>
    <col min="3073" max="3073" width="4.59765625" customWidth="1"/>
    <col min="3074" max="3074" width="20" customWidth="1"/>
    <col min="3075" max="3075" width="49.3984375" customWidth="1"/>
    <col min="3076" max="3076" width="30.59765625" customWidth="1"/>
    <col min="3077" max="3077" width="28.09765625" customWidth="1"/>
    <col min="3078" max="3078" width="29.3984375" customWidth="1"/>
    <col min="3079" max="3079" width="23.3984375" customWidth="1"/>
    <col min="3080" max="3080" width="33" customWidth="1"/>
    <col min="3081" max="3081" width="68.296875" customWidth="1"/>
    <col min="3082" max="3082" width="73" customWidth="1"/>
    <col min="3083" max="3083" width="22.296875" customWidth="1"/>
    <col min="3084" max="3084" width="16.296875" bestFit="1" customWidth="1"/>
    <col min="3085" max="3086" width="18.69921875" customWidth="1"/>
    <col min="3087" max="3087" width="10.59765625" customWidth="1"/>
    <col min="3088" max="3088" width="21.09765625" customWidth="1"/>
    <col min="3089" max="3089" width="11.69921875" customWidth="1"/>
    <col min="3090" max="3125" width="9.09765625" customWidth="1"/>
    <col min="3329" max="3329" width="4.59765625" customWidth="1"/>
    <col min="3330" max="3330" width="20" customWidth="1"/>
    <col min="3331" max="3331" width="49.3984375" customWidth="1"/>
    <col min="3332" max="3332" width="30.59765625" customWidth="1"/>
    <col min="3333" max="3333" width="28.09765625" customWidth="1"/>
    <col min="3334" max="3334" width="29.3984375" customWidth="1"/>
    <col min="3335" max="3335" width="23.3984375" customWidth="1"/>
    <col min="3336" max="3336" width="33" customWidth="1"/>
    <col min="3337" max="3337" width="68.296875" customWidth="1"/>
    <col min="3338" max="3338" width="73" customWidth="1"/>
    <col min="3339" max="3339" width="22.296875" customWidth="1"/>
    <col min="3340" max="3340" width="16.296875" bestFit="1" customWidth="1"/>
    <col min="3341" max="3342" width="18.69921875" customWidth="1"/>
    <col min="3343" max="3343" width="10.59765625" customWidth="1"/>
    <col min="3344" max="3344" width="21.09765625" customWidth="1"/>
    <col min="3345" max="3345" width="11.69921875" customWidth="1"/>
    <col min="3346" max="3381" width="9.09765625" customWidth="1"/>
    <col min="3585" max="3585" width="4.59765625" customWidth="1"/>
    <col min="3586" max="3586" width="20" customWidth="1"/>
    <col min="3587" max="3587" width="49.3984375" customWidth="1"/>
    <col min="3588" max="3588" width="30.59765625" customWidth="1"/>
    <col min="3589" max="3589" width="28.09765625" customWidth="1"/>
    <col min="3590" max="3590" width="29.3984375" customWidth="1"/>
    <col min="3591" max="3591" width="23.3984375" customWidth="1"/>
    <col min="3592" max="3592" width="33" customWidth="1"/>
    <col min="3593" max="3593" width="68.296875" customWidth="1"/>
    <col min="3594" max="3594" width="73" customWidth="1"/>
    <col min="3595" max="3595" width="22.296875" customWidth="1"/>
    <col min="3596" max="3596" width="16.296875" bestFit="1" customWidth="1"/>
    <col min="3597" max="3598" width="18.69921875" customWidth="1"/>
    <col min="3599" max="3599" width="10.59765625" customWidth="1"/>
    <col min="3600" max="3600" width="21.09765625" customWidth="1"/>
    <col min="3601" max="3601" width="11.69921875" customWidth="1"/>
    <col min="3602" max="3637" width="9.09765625" customWidth="1"/>
    <col min="3841" max="3841" width="4.59765625" customWidth="1"/>
    <col min="3842" max="3842" width="20" customWidth="1"/>
    <col min="3843" max="3843" width="49.3984375" customWidth="1"/>
    <col min="3844" max="3844" width="30.59765625" customWidth="1"/>
    <col min="3845" max="3845" width="28.09765625" customWidth="1"/>
    <col min="3846" max="3846" width="29.3984375" customWidth="1"/>
    <col min="3847" max="3847" width="23.3984375" customWidth="1"/>
    <col min="3848" max="3848" width="33" customWidth="1"/>
    <col min="3849" max="3849" width="68.296875" customWidth="1"/>
    <col min="3850" max="3850" width="73" customWidth="1"/>
    <col min="3851" max="3851" width="22.296875" customWidth="1"/>
    <col min="3852" max="3852" width="16.296875" bestFit="1" customWidth="1"/>
    <col min="3853" max="3854" width="18.69921875" customWidth="1"/>
    <col min="3855" max="3855" width="10.59765625" customWidth="1"/>
    <col min="3856" max="3856" width="21.09765625" customWidth="1"/>
    <col min="3857" max="3857" width="11.69921875" customWidth="1"/>
    <col min="3858" max="3893" width="9.09765625" customWidth="1"/>
    <col min="4097" max="4097" width="4.59765625" customWidth="1"/>
    <col min="4098" max="4098" width="20" customWidth="1"/>
    <col min="4099" max="4099" width="49.3984375" customWidth="1"/>
    <col min="4100" max="4100" width="30.59765625" customWidth="1"/>
    <col min="4101" max="4101" width="28.09765625" customWidth="1"/>
    <col min="4102" max="4102" width="29.3984375" customWidth="1"/>
    <col min="4103" max="4103" width="23.3984375" customWidth="1"/>
    <col min="4104" max="4104" width="33" customWidth="1"/>
    <col min="4105" max="4105" width="68.296875" customWidth="1"/>
    <col min="4106" max="4106" width="73" customWidth="1"/>
    <col min="4107" max="4107" width="22.296875" customWidth="1"/>
    <col min="4108" max="4108" width="16.296875" bestFit="1" customWidth="1"/>
    <col min="4109" max="4110" width="18.69921875" customWidth="1"/>
    <col min="4111" max="4111" width="10.59765625" customWidth="1"/>
    <col min="4112" max="4112" width="21.09765625" customWidth="1"/>
    <col min="4113" max="4113" width="11.69921875" customWidth="1"/>
    <col min="4114" max="4149" width="9.09765625" customWidth="1"/>
    <col min="4353" max="4353" width="4.59765625" customWidth="1"/>
    <col min="4354" max="4354" width="20" customWidth="1"/>
    <col min="4355" max="4355" width="49.3984375" customWidth="1"/>
    <col min="4356" max="4356" width="30.59765625" customWidth="1"/>
    <col min="4357" max="4357" width="28.09765625" customWidth="1"/>
    <col min="4358" max="4358" width="29.3984375" customWidth="1"/>
    <col min="4359" max="4359" width="23.3984375" customWidth="1"/>
    <col min="4360" max="4360" width="33" customWidth="1"/>
    <col min="4361" max="4361" width="68.296875" customWidth="1"/>
    <col min="4362" max="4362" width="73" customWidth="1"/>
    <col min="4363" max="4363" width="22.296875" customWidth="1"/>
    <col min="4364" max="4364" width="16.296875" bestFit="1" customWidth="1"/>
    <col min="4365" max="4366" width="18.69921875" customWidth="1"/>
    <col min="4367" max="4367" width="10.59765625" customWidth="1"/>
    <col min="4368" max="4368" width="21.09765625" customWidth="1"/>
    <col min="4369" max="4369" width="11.69921875" customWidth="1"/>
    <col min="4370" max="4405" width="9.09765625" customWidth="1"/>
    <col min="4609" max="4609" width="4.59765625" customWidth="1"/>
    <col min="4610" max="4610" width="20" customWidth="1"/>
    <col min="4611" max="4611" width="49.3984375" customWidth="1"/>
    <col min="4612" max="4612" width="30.59765625" customWidth="1"/>
    <col min="4613" max="4613" width="28.09765625" customWidth="1"/>
    <col min="4614" max="4614" width="29.3984375" customWidth="1"/>
    <col min="4615" max="4615" width="23.3984375" customWidth="1"/>
    <col min="4616" max="4616" width="33" customWidth="1"/>
    <col min="4617" max="4617" width="68.296875" customWidth="1"/>
    <col min="4618" max="4618" width="73" customWidth="1"/>
    <col min="4619" max="4619" width="22.296875" customWidth="1"/>
    <col min="4620" max="4620" width="16.296875" bestFit="1" customWidth="1"/>
    <col min="4621" max="4622" width="18.69921875" customWidth="1"/>
    <col min="4623" max="4623" width="10.59765625" customWidth="1"/>
    <col min="4624" max="4624" width="21.09765625" customWidth="1"/>
    <col min="4625" max="4625" width="11.69921875" customWidth="1"/>
    <col min="4626" max="4661" width="9.09765625" customWidth="1"/>
    <col min="4865" max="4865" width="4.59765625" customWidth="1"/>
    <col min="4866" max="4866" width="20" customWidth="1"/>
    <col min="4867" max="4867" width="49.3984375" customWidth="1"/>
    <col min="4868" max="4868" width="30.59765625" customWidth="1"/>
    <col min="4869" max="4869" width="28.09765625" customWidth="1"/>
    <col min="4870" max="4870" width="29.3984375" customWidth="1"/>
    <col min="4871" max="4871" width="23.3984375" customWidth="1"/>
    <col min="4872" max="4872" width="33" customWidth="1"/>
    <col min="4873" max="4873" width="68.296875" customWidth="1"/>
    <col min="4874" max="4874" width="73" customWidth="1"/>
    <col min="4875" max="4875" width="22.296875" customWidth="1"/>
    <col min="4876" max="4876" width="16.296875" bestFit="1" customWidth="1"/>
    <col min="4877" max="4878" width="18.69921875" customWidth="1"/>
    <col min="4879" max="4879" width="10.59765625" customWidth="1"/>
    <col min="4880" max="4880" width="21.09765625" customWidth="1"/>
    <col min="4881" max="4881" width="11.69921875" customWidth="1"/>
    <col min="4882" max="4917" width="9.09765625" customWidth="1"/>
    <col min="5121" max="5121" width="4.59765625" customWidth="1"/>
    <col min="5122" max="5122" width="20" customWidth="1"/>
    <col min="5123" max="5123" width="49.3984375" customWidth="1"/>
    <col min="5124" max="5124" width="30.59765625" customWidth="1"/>
    <col min="5125" max="5125" width="28.09765625" customWidth="1"/>
    <col min="5126" max="5126" width="29.3984375" customWidth="1"/>
    <col min="5127" max="5127" width="23.3984375" customWidth="1"/>
    <col min="5128" max="5128" width="33" customWidth="1"/>
    <col min="5129" max="5129" width="68.296875" customWidth="1"/>
    <col min="5130" max="5130" width="73" customWidth="1"/>
    <col min="5131" max="5131" width="22.296875" customWidth="1"/>
    <col min="5132" max="5132" width="16.296875" bestFit="1" customWidth="1"/>
    <col min="5133" max="5134" width="18.69921875" customWidth="1"/>
    <col min="5135" max="5135" width="10.59765625" customWidth="1"/>
    <col min="5136" max="5136" width="21.09765625" customWidth="1"/>
    <col min="5137" max="5137" width="11.69921875" customWidth="1"/>
    <col min="5138" max="5173" width="9.09765625" customWidth="1"/>
    <col min="5377" max="5377" width="4.59765625" customWidth="1"/>
    <col min="5378" max="5378" width="20" customWidth="1"/>
    <col min="5379" max="5379" width="49.3984375" customWidth="1"/>
    <col min="5380" max="5380" width="30.59765625" customWidth="1"/>
    <col min="5381" max="5381" width="28.09765625" customWidth="1"/>
    <col min="5382" max="5382" width="29.3984375" customWidth="1"/>
    <col min="5383" max="5383" width="23.3984375" customWidth="1"/>
    <col min="5384" max="5384" width="33" customWidth="1"/>
    <col min="5385" max="5385" width="68.296875" customWidth="1"/>
    <col min="5386" max="5386" width="73" customWidth="1"/>
    <col min="5387" max="5387" width="22.296875" customWidth="1"/>
    <col min="5388" max="5388" width="16.296875" bestFit="1" customWidth="1"/>
    <col min="5389" max="5390" width="18.69921875" customWidth="1"/>
    <col min="5391" max="5391" width="10.59765625" customWidth="1"/>
    <col min="5392" max="5392" width="21.09765625" customWidth="1"/>
    <col min="5393" max="5393" width="11.69921875" customWidth="1"/>
    <col min="5394" max="5429" width="9.09765625" customWidth="1"/>
    <col min="5633" max="5633" width="4.59765625" customWidth="1"/>
    <col min="5634" max="5634" width="20" customWidth="1"/>
    <col min="5635" max="5635" width="49.3984375" customWidth="1"/>
    <col min="5636" max="5636" width="30.59765625" customWidth="1"/>
    <col min="5637" max="5637" width="28.09765625" customWidth="1"/>
    <col min="5638" max="5638" width="29.3984375" customWidth="1"/>
    <col min="5639" max="5639" width="23.3984375" customWidth="1"/>
    <col min="5640" max="5640" width="33" customWidth="1"/>
    <col min="5641" max="5641" width="68.296875" customWidth="1"/>
    <col min="5642" max="5642" width="73" customWidth="1"/>
    <col min="5643" max="5643" width="22.296875" customWidth="1"/>
    <col min="5644" max="5644" width="16.296875" bestFit="1" customWidth="1"/>
    <col min="5645" max="5646" width="18.69921875" customWidth="1"/>
    <col min="5647" max="5647" width="10.59765625" customWidth="1"/>
    <col min="5648" max="5648" width="21.09765625" customWidth="1"/>
    <col min="5649" max="5649" width="11.69921875" customWidth="1"/>
    <col min="5650" max="5685" width="9.09765625" customWidth="1"/>
    <col min="5889" max="5889" width="4.59765625" customWidth="1"/>
    <col min="5890" max="5890" width="20" customWidth="1"/>
    <col min="5891" max="5891" width="49.3984375" customWidth="1"/>
    <col min="5892" max="5892" width="30.59765625" customWidth="1"/>
    <col min="5893" max="5893" width="28.09765625" customWidth="1"/>
    <col min="5894" max="5894" width="29.3984375" customWidth="1"/>
    <col min="5895" max="5895" width="23.3984375" customWidth="1"/>
    <col min="5896" max="5896" width="33" customWidth="1"/>
    <col min="5897" max="5897" width="68.296875" customWidth="1"/>
    <col min="5898" max="5898" width="73" customWidth="1"/>
    <col min="5899" max="5899" width="22.296875" customWidth="1"/>
    <col min="5900" max="5900" width="16.296875" bestFit="1" customWidth="1"/>
    <col min="5901" max="5902" width="18.69921875" customWidth="1"/>
    <col min="5903" max="5903" width="10.59765625" customWidth="1"/>
    <col min="5904" max="5904" width="21.09765625" customWidth="1"/>
    <col min="5905" max="5905" width="11.69921875" customWidth="1"/>
    <col min="5906" max="5941" width="9.09765625" customWidth="1"/>
    <col min="6145" max="6145" width="4.59765625" customWidth="1"/>
    <col min="6146" max="6146" width="20" customWidth="1"/>
    <col min="6147" max="6147" width="49.3984375" customWidth="1"/>
    <col min="6148" max="6148" width="30.59765625" customWidth="1"/>
    <col min="6149" max="6149" width="28.09765625" customWidth="1"/>
    <col min="6150" max="6150" width="29.3984375" customWidth="1"/>
    <col min="6151" max="6151" width="23.3984375" customWidth="1"/>
    <col min="6152" max="6152" width="33" customWidth="1"/>
    <col min="6153" max="6153" width="68.296875" customWidth="1"/>
    <col min="6154" max="6154" width="73" customWidth="1"/>
    <col min="6155" max="6155" width="22.296875" customWidth="1"/>
    <col min="6156" max="6156" width="16.296875" bestFit="1" customWidth="1"/>
    <col min="6157" max="6158" width="18.69921875" customWidth="1"/>
    <col min="6159" max="6159" width="10.59765625" customWidth="1"/>
    <col min="6160" max="6160" width="21.09765625" customWidth="1"/>
    <col min="6161" max="6161" width="11.69921875" customWidth="1"/>
    <col min="6162" max="6197" width="9.09765625" customWidth="1"/>
    <col min="6401" max="6401" width="4.59765625" customWidth="1"/>
    <col min="6402" max="6402" width="20" customWidth="1"/>
    <col min="6403" max="6403" width="49.3984375" customWidth="1"/>
    <col min="6404" max="6404" width="30.59765625" customWidth="1"/>
    <col min="6405" max="6405" width="28.09765625" customWidth="1"/>
    <col min="6406" max="6406" width="29.3984375" customWidth="1"/>
    <col min="6407" max="6407" width="23.3984375" customWidth="1"/>
    <col min="6408" max="6408" width="33" customWidth="1"/>
    <col min="6409" max="6409" width="68.296875" customWidth="1"/>
    <col min="6410" max="6410" width="73" customWidth="1"/>
    <col min="6411" max="6411" width="22.296875" customWidth="1"/>
    <col min="6412" max="6412" width="16.296875" bestFit="1" customWidth="1"/>
    <col min="6413" max="6414" width="18.69921875" customWidth="1"/>
    <col min="6415" max="6415" width="10.59765625" customWidth="1"/>
    <col min="6416" max="6416" width="21.09765625" customWidth="1"/>
    <col min="6417" max="6417" width="11.69921875" customWidth="1"/>
    <col min="6418" max="6453" width="9.09765625" customWidth="1"/>
    <col min="6657" max="6657" width="4.59765625" customWidth="1"/>
    <col min="6658" max="6658" width="20" customWidth="1"/>
    <col min="6659" max="6659" width="49.3984375" customWidth="1"/>
    <col min="6660" max="6660" width="30.59765625" customWidth="1"/>
    <col min="6661" max="6661" width="28.09765625" customWidth="1"/>
    <col min="6662" max="6662" width="29.3984375" customWidth="1"/>
    <col min="6663" max="6663" width="23.3984375" customWidth="1"/>
    <col min="6664" max="6664" width="33" customWidth="1"/>
    <col min="6665" max="6665" width="68.296875" customWidth="1"/>
    <col min="6666" max="6666" width="73" customWidth="1"/>
    <col min="6667" max="6667" width="22.296875" customWidth="1"/>
    <col min="6668" max="6668" width="16.296875" bestFit="1" customWidth="1"/>
    <col min="6669" max="6670" width="18.69921875" customWidth="1"/>
    <col min="6671" max="6671" width="10.59765625" customWidth="1"/>
    <col min="6672" max="6672" width="21.09765625" customWidth="1"/>
    <col min="6673" max="6673" width="11.69921875" customWidth="1"/>
    <col min="6674" max="6709" width="9.09765625" customWidth="1"/>
    <col min="6913" max="6913" width="4.59765625" customWidth="1"/>
    <col min="6914" max="6914" width="20" customWidth="1"/>
    <col min="6915" max="6915" width="49.3984375" customWidth="1"/>
    <col min="6916" max="6916" width="30.59765625" customWidth="1"/>
    <col min="6917" max="6917" width="28.09765625" customWidth="1"/>
    <col min="6918" max="6918" width="29.3984375" customWidth="1"/>
    <col min="6919" max="6919" width="23.3984375" customWidth="1"/>
    <col min="6920" max="6920" width="33" customWidth="1"/>
    <col min="6921" max="6921" width="68.296875" customWidth="1"/>
    <col min="6922" max="6922" width="73" customWidth="1"/>
    <col min="6923" max="6923" width="22.296875" customWidth="1"/>
    <col min="6924" max="6924" width="16.296875" bestFit="1" customWidth="1"/>
    <col min="6925" max="6926" width="18.69921875" customWidth="1"/>
    <col min="6927" max="6927" width="10.59765625" customWidth="1"/>
    <col min="6928" max="6928" width="21.09765625" customWidth="1"/>
    <col min="6929" max="6929" width="11.69921875" customWidth="1"/>
    <col min="6930" max="6965" width="9.09765625" customWidth="1"/>
    <col min="7169" max="7169" width="4.59765625" customWidth="1"/>
    <col min="7170" max="7170" width="20" customWidth="1"/>
    <col min="7171" max="7171" width="49.3984375" customWidth="1"/>
    <col min="7172" max="7172" width="30.59765625" customWidth="1"/>
    <col min="7173" max="7173" width="28.09765625" customWidth="1"/>
    <col min="7174" max="7174" width="29.3984375" customWidth="1"/>
    <col min="7175" max="7175" width="23.3984375" customWidth="1"/>
    <col min="7176" max="7176" width="33" customWidth="1"/>
    <col min="7177" max="7177" width="68.296875" customWidth="1"/>
    <col min="7178" max="7178" width="73" customWidth="1"/>
    <col min="7179" max="7179" width="22.296875" customWidth="1"/>
    <col min="7180" max="7180" width="16.296875" bestFit="1" customWidth="1"/>
    <col min="7181" max="7182" width="18.69921875" customWidth="1"/>
    <col min="7183" max="7183" width="10.59765625" customWidth="1"/>
    <col min="7184" max="7184" width="21.09765625" customWidth="1"/>
    <col min="7185" max="7185" width="11.69921875" customWidth="1"/>
    <col min="7186" max="7221" width="9.09765625" customWidth="1"/>
    <col min="7425" max="7425" width="4.59765625" customWidth="1"/>
    <col min="7426" max="7426" width="20" customWidth="1"/>
    <col min="7427" max="7427" width="49.3984375" customWidth="1"/>
    <col min="7428" max="7428" width="30.59765625" customWidth="1"/>
    <col min="7429" max="7429" width="28.09765625" customWidth="1"/>
    <col min="7430" max="7430" width="29.3984375" customWidth="1"/>
    <col min="7431" max="7431" width="23.3984375" customWidth="1"/>
    <col min="7432" max="7432" width="33" customWidth="1"/>
    <col min="7433" max="7433" width="68.296875" customWidth="1"/>
    <col min="7434" max="7434" width="73" customWidth="1"/>
    <col min="7435" max="7435" width="22.296875" customWidth="1"/>
    <col min="7436" max="7436" width="16.296875" bestFit="1" customWidth="1"/>
    <col min="7437" max="7438" width="18.69921875" customWidth="1"/>
    <col min="7439" max="7439" width="10.59765625" customWidth="1"/>
    <col min="7440" max="7440" width="21.09765625" customWidth="1"/>
    <col min="7441" max="7441" width="11.69921875" customWidth="1"/>
    <col min="7442" max="7477" width="9.09765625" customWidth="1"/>
    <col min="7681" max="7681" width="4.59765625" customWidth="1"/>
    <col min="7682" max="7682" width="20" customWidth="1"/>
    <col min="7683" max="7683" width="49.3984375" customWidth="1"/>
    <col min="7684" max="7684" width="30.59765625" customWidth="1"/>
    <col min="7685" max="7685" width="28.09765625" customWidth="1"/>
    <col min="7686" max="7686" width="29.3984375" customWidth="1"/>
    <col min="7687" max="7687" width="23.3984375" customWidth="1"/>
    <col min="7688" max="7688" width="33" customWidth="1"/>
    <col min="7689" max="7689" width="68.296875" customWidth="1"/>
    <col min="7690" max="7690" width="73" customWidth="1"/>
    <col min="7691" max="7691" width="22.296875" customWidth="1"/>
    <col min="7692" max="7692" width="16.296875" bestFit="1" customWidth="1"/>
    <col min="7693" max="7694" width="18.69921875" customWidth="1"/>
    <col min="7695" max="7695" width="10.59765625" customWidth="1"/>
    <col min="7696" max="7696" width="21.09765625" customWidth="1"/>
    <col min="7697" max="7697" width="11.69921875" customWidth="1"/>
    <col min="7698" max="7733" width="9.09765625" customWidth="1"/>
    <col min="7937" max="7937" width="4.59765625" customWidth="1"/>
    <col min="7938" max="7938" width="20" customWidth="1"/>
    <col min="7939" max="7939" width="49.3984375" customWidth="1"/>
    <col min="7940" max="7940" width="30.59765625" customWidth="1"/>
    <col min="7941" max="7941" width="28.09765625" customWidth="1"/>
    <col min="7942" max="7942" width="29.3984375" customWidth="1"/>
    <col min="7943" max="7943" width="23.3984375" customWidth="1"/>
    <col min="7944" max="7944" width="33" customWidth="1"/>
    <col min="7945" max="7945" width="68.296875" customWidth="1"/>
    <col min="7946" max="7946" width="73" customWidth="1"/>
    <col min="7947" max="7947" width="22.296875" customWidth="1"/>
    <col min="7948" max="7948" width="16.296875" bestFit="1" customWidth="1"/>
    <col min="7949" max="7950" width="18.69921875" customWidth="1"/>
    <col min="7951" max="7951" width="10.59765625" customWidth="1"/>
    <col min="7952" max="7952" width="21.09765625" customWidth="1"/>
    <col min="7953" max="7953" width="11.69921875" customWidth="1"/>
    <col min="7954" max="7989" width="9.09765625" customWidth="1"/>
    <col min="8193" max="8193" width="4.59765625" customWidth="1"/>
    <col min="8194" max="8194" width="20" customWidth="1"/>
    <col min="8195" max="8195" width="49.3984375" customWidth="1"/>
    <col min="8196" max="8196" width="30.59765625" customWidth="1"/>
    <col min="8197" max="8197" width="28.09765625" customWidth="1"/>
    <col min="8198" max="8198" width="29.3984375" customWidth="1"/>
    <col min="8199" max="8199" width="23.3984375" customWidth="1"/>
    <col min="8200" max="8200" width="33" customWidth="1"/>
    <col min="8201" max="8201" width="68.296875" customWidth="1"/>
    <col min="8202" max="8202" width="73" customWidth="1"/>
    <col min="8203" max="8203" width="22.296875" customWidth="1"/>
    <col min="8204" max="8204" width="16.296875" bestFit="1" customWidth="1"/>
    <col min="8205" max="8206" width="18.69921875" customWidth="1"/>
    <col min="8207" max="8207" width="10.59765625" customWidth="1"/>
    <col min="8208" max="8208" width="21.09765625" customWidth="1"/>
    <col min="8209" max="8209" width="11.69921875" customWidth="1"/>
    <col min="8210" max="8245" width="9.09765625" customWidth="1"/>
    <col min="8449" max="8449" width="4.59765625" customWidth="1"/>
    <col min="8450" max="8450" width="20" customWidth="1"/>
    <col min="8451" max="8451" width="49.3984375" customWidth="1"/>
    <col min="8452" max="8452" width="30.59765625" customWidth="1"/>
    <col min="8453" max="8453" width="28.09765625" customWidth="1"/>
    <col min="8454" max="8454" width="29.3984375" customWidth="1"/>
    <col min="8455" max="8455" width="23.3984375" customWidth="1"/>
    <col min="8456" max="8456" width="33" customWidth="1"/>
    <col min="8457" max="8457" width="68.296875" customWidth="1"/>
    <col min="8458" max="8458" width="73" customWidth="1"/>
    <col min="8459" max="8459" width="22.296875" customWidth="1"/>
    <col min="8460" max="8460" width="16.296875" bestFit="1" customWidth="1"/>
    <col min="8461" max="8462" width="18.69921875" customWidth="1"/>
    <col min="8463" max="8463" width="10.59765625" customWidth="1"/>
    <col min="8464" max="8464" width="21.09765625" customWidth="1"/>
    <col min="8465" max="8465" width="11.69921875" customWidth="1"/>
    <col min="8466" max="8501" width="9.09765625" customWidth="1"/>
    <col min="8705" max="8705" width="4.59765625" customWidth="1"/>
    <col min="8706" max="8706" width="20" customWidth="1"/>
    <col min="8707" max="8707" width="49.3984375" customWidth="1"/>
    <col min="8708" max="8708" width="30.59765625" customWidth="1"/>
    <col min="8709" max="8709" width="28.09765625" customWidth="1"/>
    <col min="8710" max="8710" width="29.3984375" customWidth="1"/>
    <col min="8711" max="8711" width="23.3984375" customWidth="1"/>
    <col min="8712" max="8712" width="33" customWidth="1"/>
    <col min="8713" max="8713" width="68.296875" customWidth="1"/>
    <col min="8714" max="8714" width="73" customWidth="1"/>
    <col min="8715" max="8715" width="22.296875" customWidth="1"/>
    <col min="8716" max="8716" width="16.296875" bestFit="1" customWidth="1"/>
    <col min="8717" max="8718" width="18.69921875" customWidth="1"/>
    <col min="8719" max="8719" width="10.59765625" customWidth="1"/>
    <col min="8720" max="8720" width="21.09765625" customWidth="1"/>
    <col min="8721" max="8721" width="11.69921875" customWidth="1"/>
    <col min="8722" max="8757" width="9.09765625" customWidth="1"/>
    <col min="8961" max="8961" width="4.59765625" customWidth="1"/>
    <col min="8962" max="8962" width="20" customWidth="1"/>
    <col min="8963" max="8963" width="49.3984375" customWidth="1"/>
    <col min="8964" max="8964" width="30.59765625" customWidth="1"/>
    <col min="8965" max="8965" width="28.09765625" customWidth="1"/>
    <col min="8966" max="8966" width="29.3984375" customWidth="1"/>
    <col min="8967" max="8967" width="23.3984375" customWidth="1"/>
    <col min="8968" max="8968" width="33" customWidth="1"/>
    <col min="8969" max="8969" width="68.296875" customWidth="1"/>
    <col min="8970" max="8970" width="73" customWidth="1"/>
    <col min="8971" max="8971" width="22.296875" customWidth="1"/>
    <col min="8972" max="8972" width="16.296875" bestFit="1" customWidth="1"/>
    <col min="8973" max="8974" width="18.69921875" customWidth="1"/>
    <col min="8975" max="8975" width="10.59765625" customWidth="1"/>
    <col min="8976" max="8976" width="21.09765625" customWidth="1"/>
    <col min="8977" max="8977" width="11.69921875" customWidth="1"/>
    <col min="8978" max="9013" width="9.09765625" customWidth="1"/>
    <col min="9217" max="9217" width="4.59765625" customWidth="1"/>
    <col min="9218" max="9218" width="20" customWidth="1"/>
    <col min="9219" max="9219" width="49.3984375" customWidth="1"/>
    <col min="9220" max="9220" width="30.59765625" customWidth="1"/>
    <col min="9221" max="9221" width="28.09765625" customWidth="1"/>
    <col min="9222" max="9222" width="29.3984375" customWidth="1"/>
    <col min="9223" max="9223" width="23.3984375" customWidth="1"/>
    <col min="9224" max="9224" width="33" customWidth="1"/>
    <col min="9225" max="9225" width="68.296875" customWidth="1"/>
    <col min="9226" max="9226" width="73" customWidth="1"/>
    <col min="9227" max="9227" width="22.296875" customWidth="1"/>
    <col min="9228" max="9228" width="16.296875" bestFit="1" customWidth="1"/>
    <col min="9229" max="9230" width="18.69921875" customWidth="1"/>
    <col min="9231" max="9231" width="10.59765625" customWidth="1"/>
    <col min="9232" max="9232" width="21.09765625" customWidth="1"/>
    <col min="9233" max="9233" width="11.69921875" customWidth="1"/>
    <col min="9234" max="9269" width="9.09765625" customWidth="1"/>
    <col min="9473" max="9473" width="4.59765625" customWidth="1"/>
    <col min="9474" max="9474" width="20" customWidth="1"/>
    <col min="9475" max="9475" width="49.3984375" customWidth="1"/>
    <col min="9476" max="9476" width="30.59765625" customWidth="1"/>
    <col min="9477" max="9477" width="28.09765625" customWidth="1"/>
    <col min="9478" max="9478" width="29.3984375" customWidth="1"/>
    <col min="9479" max="9479" width="23.3984375" customWidth="1"/>
    <col min="9480" max="9480" width="33" customWidth="1"/>
    <col min="9481" max="9481" width="68.296875" customWidth="1"/>
    <col min="9482" max="9482" width="73" customWidth="1"/>
    <col min="9483" max="9483" width="22.296875" customWidth="1"/>
    <col min="9484" max="9484" width="16.296875" bestFit="1" customWidth="1"/>
    <col min="9485" max="9486" width="18.69921875" customWidth="1"/>
    <col min="9487" max="9487" width="10.59765625" customWidth="1"/>
    <col min="9488" max="9488" width="21.09765625" customWidth="1"/>
    <col min="9489" max="9489" width="11.69921875" customWidth="1"/>
    <col min="9490" max="9525" width="9.09765625" customWidth="1"/>
    <col min="9729" max="9729" width="4.59765625" customWidth="1"/>
    <col min="9730" max="9730" width="20" customWidth="1"/>
    <col min="9731" max="9731" width="49.3984375" customWidth="1"/>
    <col min="9732" max="9732" width="30.59765625" customWidth="1"/>
    <col min="9733" max="9733" width="28.09765625" customWidth="1"/>
    <col min="9734" max="9734" width="29.3984375" customWidth="1"/>
    <col min="9735" max="9735" width="23.3984375" customWidth="1"/>
    <col min="9736" max="9736" width="33" customWidth="1"/>
    <col min="9737" max="9737" width="68.296875" customWidth="1"/>
    <col min="9738" max="9738" width="73" customWidth="1"/>
    <col min="9739" max="9739" width="22.296875" customWidth="1"/>
    <col min="9740" max="9740" width="16.296875" bestFit="1" customWidth="1"/>
    <col min="9741" max="9742" width="18.69921875" customWidth="1"/>
    <col min="9743" max="9743" width="10.59765625" customWidth="1"/>
    <col min="9744" max="9744" width="21.09765625" customWidth="1"/>
    <col min="9745" max="9745" width="11.69921875" customWidth="1"/>
    <col min="9746" max="9781" width="9.09765625" customWidth="1"/>
    <col min="9985" max="9985" width="4.59765625" customWidth="1"/>
    <col min="9986" max="9986" width="20" customWidth="1"/>
    <col min="9987" max="9987" width="49.3984375" customWidth="1"/>
    <col min="9988" max="9988" width="30.59765625" customWidth="1"/>
    <col min="9989" max="9989" width="28.09765625" customWidth="1"/>
    <col min="9990" max="9990" width="29.3984375" customWidth="1"/>
    <col min="9991" max="9991" width="23.3984375" customWidth="1"/>
    <col min="9992" max="9992" width="33" customWidth="1"/>
    <col min="9993" max="9993" width="68.296875" customWidth="1"/>
    <col min="9994" max="9994" width="73" customWidth="1"/>
    <col min="9995" max="9995" width="22.296875" customWidth="1"/>
    <col min="9996" max="9996" width="16.296875" bestFit="1" customWidth="1"/>
    <col min="9997" max="9998" width="18.69921875" customWidth="1"/>
    <col min="9999" max="9999" width="10.59765625" customWidth="1"/>
    <col min="10000" max="10000" width="21.09765625" customWidth="1"/>
    <col min="10001" max="10001" width="11.69921875" customWidth="1"/>
    <col min="10002" max="10037" width="9.09765625" customWidth="1"/>
    <col min="10241" max="10241" width="4.59765625" customWidth="1"/>
    <col min="10242" max="10242" width="20" customWidth="1"/>
    <col min="10243" max="10243" width="49.3984375" customWidth="1"/>
    <col min="10244" max="10244" width="30.59765625" customWidth="1"/>
    <col min="10245" max="10245" width="28.09765625" customWidth="1"/>
    <col min="10246" max="10246" width="29.3984375" customWidth="1"/>
    <col min="10247" max="10247" width="23.3984375" customWidth="1"/>
    <col min="10248" max="10248" width="33" customWidth="1"/>
    <col min="10249" max="10249" width="68.296875" customWidth="1"/>
    <col min="10250" max="10250" width="73" customWidth="1"/>
    <col min="10251" max="10251" width="22.296875" customWidth="1"/>
    <col min="10252" max="10252" width="16.296875" bestFit="1" customWidth="1"/>
    <col min="10253" max="10254" width="18.69921875" customWidth="1"/>
    <col min="10255" max="10255" width="10.59765625" customWidth="1"/>
    <col min="10256" max="10256" width="21.09765625" customWidth="1"/>
    <col min="10257" max="10257" width="11.69921875" customWidth="1"/>
    <col min="10258" max="10293" width="9.09765625" customWidth="1"/>
    <col min="10497" max="10497" width="4.59765625" customWidth="1"/>
    <col min="10498" max="10498" width="20" customWidth="1"/>
    <col min="10499" max="10499" width="49.3984375" customWidth="1"/>
    <col min="10500" max="10500" width="30.59765625" customWidth="1"/>
    <col min="10501" max="10501" width="28.09765625" customWidth="1"/>
    <col min="10502" max="10502" width="29.3984375" customWidth="1"/>
    <col min="10503" max="10503" width="23.3984375" customWidth="1"/>
    <col min="10504" max="10504" width="33" customWidth="1"/>
    <col min="10505" max="10505" width="68.296875" customWidth="1"/>
    <col min="10506" max="10506" width="73" customWidth="1"/>
    <col min="10507" max="10507" width="22.296875" customWidth="1"/>
    <col min="10508" max="10508" width="16.296875" bestFit="1" customWidth="1"/>
    <col min="10509" max="10510" width="18.69921875" customWidth="1"/>
    <col min="10511" max="10511" width="10.59765625" customWidth="1"/>
    <col min="10512" max="10512" width="21.09765625" customWidth="1"/>
    <col min="10513" max="10513" width="11.69921875" customWidth="1"/>
    <col min="10514" max="10549" width="9.09765625" customWidth="1"/>
    <col min="10753" max="10753" width="4.59765625" customWidth="1"/>
    <col min="10754" max="10754" width="20" customWidth="1"/>
    <col min="10755" max="10755" width="49.3984375" customWidth="1"/>
    <col min="10756" max="10756" width="30.59765625" customWidth="1"/>
    <col min="10757" max="10757" width="28.09765625" customWidth="1"/>
    <col min="10758" max="10758" width="29.3984375" customWidth="1"/>
    <col min="10759" max="10759" width="23.3984375" customWidth="1"/>
    <col min="10760" max="10760" width="33" customWidth="1"/>
    <col min="10761" max="10761" width="68.296875" customWidth="1"/>
    <col min="10762" max="10762" width="73" customWidth="1"/>
    <col min="10763" max="10763" width="22.296875" customWidth="1"/>
    <col min="10764" max="10764" width="16.296875" bestFit="1" customWidth="1"/>
    <col min="10765" max="10766" width="18.69921875" customWidth="1"/>
    <col min="10767" max="10767" width="10.59765625" customWidth="1"/>
    <col min="10768" max="10768" width="21.09765625" customWidth="1"/>
    <col min="10769" max="10769" width="11.69921875" customWidth="1"/>
    <col min="10770" max="10805" width="9.09765625" customWidth="1"/>
    <col min="11009" max="11009" width="4.59765625" customWidth="1"/>
    <col min="11010" max="11010" width="20" customWidth="1"/>
    <col min="11011" max="11011" width="49.3984375" customWidth="1"/>
    <col min="11012" max="11012" width="30.59765625" customWidth="1"/>
    <col min="11013" max="11013" width="28.09765625" customWidth="1"/>
    <col min="11014" max="11014" width="29.3984375" customWidth="1"/>
    <col min="11015" max="11015" width="23.3984375" customWidth="1"/>
    <col min="11016" max="11016" width="33" customWidth="1"/>
    <col min="11017" max="11017" width="68.296875" customWidth="1"/>
    <col min="11018" max="11018" width="73" customWidth="1"/>
    <col min="11019" max="11019" width="22.296875" customWidth="1"/>
    <col min="11020" max="11020" width="16.296875" bestFit="1" customWidth="1"/>
    <col min="11021" max="11022" width="18.69921875" customWidth="1"/>
    <col min="11023" max="11023" width="10.59765625" customWidth="1"/>
    <col min="11024" max="11024" width="21.09765625" customWidth="1"/>
    <col min="11025" max="11025" width="11.69921875" customWidth="1"/>
    <col min="11026" max="11061" width="9.09765625" customWidth="1"/>
    <col min="11265" max="11265" width="4.59765625" customWidth="1"/>
    <col min="11266" max="11266" width="20" customWidth="1"/>
    <col min="11267" max="11267" width="49.3984375" customWidth="1"/>
    <col min="11268" max="11268" width="30.59765625" customWidth="1"/>
    <col min="11269" max="11269" width="28.09765625" customWidth="1"/>
    <col min="11270" max="11270" width="29.3984375" customWidth="1"/>
    <col min="11271" max="11271" width="23.3984375" customWidth="1"/>
    <col min="11272" max="11272" width="33" customWidth="1"/>
    <col min="11273" max="11273" width="68.296875" customWidth="1"/>
    <col min="11274" max="11274" width="73" customWidth="1"/>
    <col min="11275" max="11275" width="22.296875" customWidth="1"/>
    <col min="11276" max="11276" width="16.296875" bestFit="1" customWidth="1"/>
    <col min="11277" max="11278" width="18.69921875" customWidth="1"/>
    <col min="11279" max="11279" width="10.59765625" customWidth="1"/>
    <col min="11280" max="11280" width="21.09765625" customWidth="1"/>
    <col min="11281" max="11281" width="11.69921875" customWidth="1"/>
    <col min="11282" max="11317" width="9.09765625" customWidth="1"/>
    <col min="11521" max="11521" width="4.59765625" customWidth="1"/>
    <col min="11522" max="11522" width="20" customWidth="1"/>
    <col min="11523" max="11523" width="49.3984375" customWidth="1"/>
    <col min="11524" max="11524" width="30.59765625" customWidth="1"/>
    <col min="11525" max="11525" width="28.09765625" customWidth="1"/>
    <col min="11526" max="11526" width="29.3984375" customWidth="1"/>
    <col min="11527" max="11527" width="23.3984375" customWidth="1"/>
    <col min="11528" max="11528" width="33" customWidth="1"/>
    <col min="11529" max="11529" width="68.296875" customWidth="1"/>
    <col min="11530" max="11530" width="73" customWidth="1"/>
    <col min="11531" max="11531" width="22.296875" customWidth="1"/>
    <col min="11532" max="11532" width="16.296875" bestFit="1" customWidth="1"/>
    <col min="11533" max="11534" width="18.69921875" customWidth="1"/>
    <col min="11535" max="11535" width="10.59765625" customWidth="1"/>
    <col min="11536" max="11536" width="21.09765625" customWidth="1"/>
    <col min="11537" max="11537" width="11.69921875" customWidth="1"/>
    <col min="11538" max="11573" width="9.09765625" customWidth="1"/>
    <col min="11777" max="11777" width="4.59765625" customWidth="1"/>
    <col min="11778" max="11778" width="20" customWidth="1"/>
    <col min="11779" max="11779" width="49.3984375" customWidth="1"/>
    <col min="11780" max="11780" width="30.59765625" customWidth="1"/>
    <col min="11781" max="11781" width="28.09765625" customWidth="1"/>
    <col min="11782" max="11782" width="29.3984375" customWidth="1"/>
    <col min="11783" max="11783" width="23.3984375" customWidth="1"/>
    <col min="11784" max="11784" width="33" customWidth="1"/>
    <col min="11785" max="11785" width="68.296875" customWidth="1"/>
    <col min="11786" max="11786" width="73" customWidth="1"/>
    <col min="11787" max="11787" width="22.296875" customWidth="1"/>
    <col min="11788" max="11788" width="16.296875" bestFit="1" customWidth="1"/>
    <col min="11789" max="11790" width="18.69921875" customWidth="1"/>
    <col min="11791" max="11791" width="10.59765625" customWidth="1"/>
    <col min="11792" max="11792" width="21.09765625" customWidth="1"/>
    <col min="11793" max="11793" width="11.69921875" customWidth="1"/>
    <col min="11794" max="11829" width="9.09765625" customWidth="1"/>
    <col min="12033" max="12033" width="4.59765625" customWidth="1"/>
    <col min="12034" max="12034" width="20" customWidth="1"/>
    <col min="12035" max="12035" width="49.3984375" customWidth="1"/>
    <col min="12036" max="12036" width="30.59765625" customWidth="1"/>
    <col min="12037" max="12037" width="28.09765625" customWidth="1"/>
    <col min="12038" max="12038" width="29.3984375" customWidth="1"/>
    <col min="12039" max="12039" width="23.3984375" customWidth="1"/>
    <col min="12040" max="12040" width="33" customWidth="1"/>
    <col min="12041" max="12041" width="68.296875" customWidth="1"/>
    <col min="12042" max="12042" width="73" customWidth="1"/>
    <col min="12043" max="12043" width="22.296875" customWidth="1"/>
    <col min="12044" max="12044" width="16.296875" bestFit="1" customWidth="1"/>
    <col min="12045" max="12046" width="18.69921875" customWidth="1"/>
    <col min="12047" max="12047" width="10.59765625" customWidth="1"/>
    <col min="12048" max="12048" width="21.09765625" customWidth="1"/>
    <col min="12049" max="12049" width="11.69921875" customWidth="1"/>
    <col min="12050" max="12085" width="9.09765625" customWidth="1"/>
    <col min="12289" max="12289" width="4.59765625" customWidth="1"/>
    <col min="12290" max="12290" width="20" customWidth="1"/>
    <col min="12291" max="12291" width="49.3984375" customWidth="1"/>
    <col min="12292" max="12292" width="30.59765625" customWidth="1"/>
    <col min="12293" max="12293" width="28.09765625" customWidth="1"/>
    <col min="12294" max="12294" width="29.3984375" customWidth="1"/>
    <col min="12295" max="12295" width="23.3984375" customWidth="1"/>
    <col min="12296" max="12296" width="33" customWidth="1"/>
    <col min="12297" max="12297" width="68.296875" customWidth="1"/>
    <col min="12298" max="12298" width="73" customWidth="1"/>
    <col min="12299" max="12299" width="22.296875" customWidth="1"/>
    <col min="12300" max="12300" width="16.296875" bestFit="1" customWidth="1"/>
    <col min="12301" max="12302" width="18.69921875" customWidth="1"/>
    <col min="12303" max="12303" width="10.59765625" customWidth="1"/>
    <col min="12304" max="12304" width="21.09765625" customWidth="1"/>
    <col min="12305" max="12305" width="11.69921875" customWidth="1"/>
    <col min="12306" max="12341" width="9.09765625" customWidth="1"/>
    <col min="12545" max="12545" width="4.59765625" customWidth="1"/>
    <col min="12546" max="12546" width="20" customWidth="1"/>
    <col min="12547" max="12547" width="49.3984375" customWidth="1"/>
    <col min="12548" max="12548" width="30.59765625" customWidth="1"/>
    <col min="12549" max="12549" width="28.09765625" customWidth="1"/>
    <col min="12550" max="12550" width="29.3984375" customWidth="1"/>
    <col min="12551" max="12551" width="23.3984375" customWidth="1"/>
    <col min="12552" max="12552" width="33" customWidth="1"/>
    <col min="12553" max="12553" width="68.296875" customWidth="1"/>
    <col min="12554" max="12554" width="73" customWidth="1"/>
    <col min="12555" max="12555" width="22.296875" customWidth="1"/>
    <col min="12556" max="12556" width="16.296875" bestFit="1" customWidth="1"/>
    <col min="12557" max="12558" width="18.69921875" customWidth="1"/>
    <col min="12559" max="12559" width="10.59765625" customWidth="1"/>
    <col min="12560" max="12560" width="21.09765625" customWidth="1"/>
    <col min="12561" max="12561" width="11.69921875" customWidth="1"/>
    <col min="12562" max="12597" width="9.09765625" customWidth="1"/>
    <col min="12801" max="12801" width="4.59765625" customWidth="1"/>
    <col min="12802" max="12802" width="20" customWidth="1"/>
    <col min="12803" max="12803" width="49.3984375" customWidth="1"/>
    <col min="12804" max="12804" width="30.59765625" customWidth="1"/>
    <col min="12805" max="12805" width="28.09765625" customWidth="1"/>
    <col min="12806" max="12806" width="29.3984375" customWidth="1"/>
    <col min="12807" max="12807" width="23.3984375" customWidth="1"/>
    <col min="12808" max="12808" width="33" customWidth="1"/>
    <col min="12809" max="12809" width="68.296875" customWidth="1"/>
    <col min="12810" max="12810" width="73" customWidth="1"/>
    <col min="12811" max="12811" width="22.296875" customWidth="1"/>
    <col min="12812" max="12812" width="16.296875" bestFit="1" customWidth="1"/>
    <col min="12813" max="12814" width="18.69921875" customWidth="1"/>
    <col min="12815" max="12815" width="10.59765625" customWidth="1"/>
    <col min="12816" max="12816" width="21.09765625" customWidth="1"/>
    <col min="12817" max="12817" width="11.69921875" customWidth="1"/>
    <col min="12818" max="12853" width="9.09765625" customWidth="1"/>
    <col min="13057" max="13057" width="4.59765625" customWidth="1"/>
    <col min="13058" max="13058" width="20" customWidth="1"/>
    <col min="13059" max="13059" width="49.3984375" customWidth="1"/>
    <col min="13060" max="13060" width="30.59765625" customWidth="1"/>
    <col min="13061" max="13061" width="28.09765625" customWidth="1"/>
    <col min="13062" max="13062" width="29.3984375" customWidth="1"/>
    <col min="13063" max="13063" width="23.3984375" customWidth="1"/>
    <col min="13064" max="13064" width="33" customWidth="1"/>
    <col min="13065" max="13065" width="68.296875" customWidth="1"/>
    <col min="13066" max="13066" width="73" customWidth="1"/>
    <col min="13067" max="13067" width="22.296875" customWidth="1"/>
    <col min="13068" max="13068" width="16.296875" bestFit="1" customWidth="1"/>
    <col min="13069" max="13070" width="18.69921875" customWidth="1"/>
    <col min="13071" max="13071" width="10.59765625" customWidth="1"/>
    <col min="13072" max="13072" width="21.09765625" customWidth="1"/>
    <col min="13073" max="13073" width="11.69921875" customWidth="1"/>
    <col min="13074" max="13109" width="9.09765625" customWidth="1"/>
    <col min="13313" max="13313" width="4.59765625" customWidth="1"/>
    <col min="13314" max="13314" width="20" customWidth="1"/>
    <col min="13315" max="13315" width="49.3984375" customWidth="1"/>
    <col min="13316" max="13316" width="30.59765625" customWidth="1"/>
    <col min="13317" max="13317" width="28.09765625" customWidth="1"/>
    <col min="13318" max="13318" width="29.3984375" customWidth="1"/>
    <col min="13319" max="13319" width="23.3984375" customWidth="1"/>
    <col min="13320" max="13320" width="33" customWidth="1"/>
    <col min="13321" max="13321" width="68.296875" customWidth="1"/>
    <col min="13322" max="13322" width="73" customWidth="1"/>
    <col min="13323" max="13323" width="22.296875" customWidth="1"/>
    <col min="13324" max="13324" width="16.296875" bestFit="1" customWidth="1"/>
    <col min="13325" max="13326" width="18.69921875" customWidth="1"/>
    <col min="13327" max="13327" width="10.59765625" customWidth="1"/>
    <col min="13328" max="13328" width="21.09765625" customWidth="1"/>
    <col min="13329" max="13329" width="11.69921875" customWidth="1"/>
    <col min="13330" max="13365" width="9.09765625" customWidth="1"/>
    <col min="13569" max="13569" width="4.59765625" customWidth="1"/>
    <col min="13570" max="13570" width="20" customWidth="1"/>
    <col min="13571" max="13571" width="49.3984375" customWidth="1"/>
    <col min="13572" max="13572" width="30.59765625" customWidth="1"/>
    <col min="13573" max="13573" width="28.09765625" customWidth="1"/>
    <col min="13574" max="13574" width="29.3984375" customWidth="1"/>
    <col min="13575" max="13575" width="23.3984375" customWidth="1"/>
    <col min="13576" max="13576" width="33" customWidth="1"/>
    <col min="13577" max="13577" width="68.296875" customWidth="1"/>
    <col min="13578" max="13578" width="73" customWidth="1"/>
    <col min="13579" max="13579" width="22.296875" customWidth="1"/>
    <col min="13580" max="13580" width="16.296875" bestFit="1" customWidth="1"/>
    <col min="13581" max="13582" width="18.69921875" customWidth="1"/>
    <col min="13583" max="13583" width="10.59765625" customWidth="1"/>
    <col min="13584" max="13584" width="21.09765625" customWidth="1"/>
    <col min="13585" max="13585" width="11.69921875" customWidth="1"/>
    <col min="13586" max="13621" width="9.09765625" customWidth="1"/>
    <col min="13825" max="13825" width="4.59765625" customWidth="1"/>
    <col min="13826" max="13826" width="20" customWidth="1"/>
    <col min="13827" max="13827" width="49.3984375" customWidth="1"/>
    <col min="13828" max="13828" width="30.59765625" customWidth="1"/>
    <col min="13829" max="13829" width="28.09765625" customWidth="1"/>
    <col min="13830" max="13830" width="29.3984375" customWidth="1"/>
    <col min="13831" max="13831" width="23.3984375" customWidth="1"/>
    <col min="13832" max="13832" width="33" customWidth="1"/>
    <col min="13833" max="13833" width="68.296875" customWidth="1"/>
    <col min="13834" max="13834" width="73" customWidth="1"/>
    <col min="13835" max="13835" width="22.296875" customWidth="1"/>
    <col min="13836" max="13836" width="16.296875" bestFit="1" customWidth="1"/>
    <col min="13837" max="13838" width="18.69921875" customWidth="1"/>
    <col min="13839" max="13839" width="10.59765625" customWidth="1"/>
    <col min="13840" max="13840" width="21.09765625" customWidth="1"/>
    <col min="13841" max="13841" width="11.69921875" customWidth="1"/>
    <col min="13842" max="13877" width="9.09765625" customWidth="1"/>
    <col min="14081" max="14081" width="4.59765625" customWidth="1"/>
    <col min="14082" max="14082" width="20" customWidth="1"/>
    <col min="14083" max="14083" width="49.3984375" customWidth="1"/>
    <col min="14084" max="14084" width="30.59765625" customWidth="1"/>
    <col min="14085" max="14085" width="28.09765625" customWidth="1"/>
    <col min="14086" max="14086" width="29.3984375" customWidth="1"/>
    <col min="14087" max="14087" width="23.3984375" customWidth="1"/>
    <col min="14088" max="14088" width="33" customWidth="1"/>
    <col min="14089" max="14089" width="68.296875" customWidth="1"/>
    <col min="14090" max="14090" width="73" customWidth="1"/>
    <col min="14091" max="14091" width="22.296875" customWidth="1"/>
    <col min="14092" max="14092" width="16.296875" bestFit="1" customWidth="1"/>
    <col min="14093" max="14094" width="18.69921875" customWidth="1"/>
    <col min="14095" max="14095" width="10.59765625" customWidth="1"/>
    <col min="14096" max="14096" width="21.09765625" customWidth="1"/>
    <col min="14097" max="14097" width="11.69921875" customWidth="1"/>
    <col min="14098" max="14133" width="9.09765625" customWidth="1"/>
    <col min="14337" max="14337" width="4.59765625" customWidth="1"/>
    <col min="14338" max="14338" width="20" customWidth="1"/>
    <col min="14339" max="14339" width="49.3984375" customWidth="1"/>
    <col min="14340" max="14340" width="30.59765625" customWidth="1"/>
    <col min="14341" max="14341" width="28.09765625" customWidth="1"/>
    <col min="14342" max="14342" width="29.3984375" customWidth="1"/>
    <col min="14343" max="14343" width="23.3984375" customWidth="1"/>
    <col min="14344" max="14344" width="33" customWidth="1"/>
    <col min="14345" max="14345" width="68.296875" customWidth="1"/>
    <col min="14346" max="14346" width="73" customWidth="1"/>
    <col min="14347" max="14347" width="22.296875" customWidth="1"/>
    <col min="14348" max="14348" width="16.296875" bestFit="1" customWidth="1"/>
    <col min="14349" max="14350" width="18.69921875" customWidth="1"/>
    <col min="14351" max="14351" width="10.59765625" customWidth="1"/>
    <col min="14352" max="14352" width="21.09765625" customWidth="1"/>
    <col min="14353" max="14353" width="11.69921875" customWidth="1"/>
    <col min="14354" max="14389" width="9.09765625" customWidth="1"/>
    <col min="14593" max="14593" width="4.59765625" customWidth="1"/>
    <col min="14594" max="14594" width="20" customWidth="1"/>
    <col min="14595" max="14595" width="49.3984375" customWidth="1"/>
    <col min="14596" max="14596" width="30.59765625" customWidth="1"/>
    <col min="14597" max="14597" width="28.09765625" customWidth="1"/>
    <col min="14598" max="14598" width="29.3984375" customWidth="1"/>
    <col min="14599" max="14599" width="23.3984375" customWidth="1"/>
    <col min="14600" max="14600" width="33" customWidth="1"/>
    <col min="14601" max="14601" width="68.296875" customWidth="1"/>
    <col min="14602" max="14602" width="73" customWidth="1"/>
    <col min="14603" max="14603" width="22.296875" customWidth="1"/>
    <col min="14604" max="14604" width="16.296875" bestFit="1" customWidth="1"/>
    <col min="14605" max="14606" width="18.69921875" customWidth="1"/>
    <col min="14607" max="14607" width="10.59765625" customWidth="1"/>
    <col min="14608" max="14608" width="21.09765625" customWidth="1"/>
    <col min="14609" max="14609" width="11.69921875" customWidth="1"/>
    <col min="14610" max="14645" width="9.09765625" customWidth="1"/>
    <col min="14849" max="14849" width="4.59765625" customWidth="1"/>
    <col min="14850" max="14850" width="20" customWidth="1"/>
    <col min="14851" max="14851" width="49.3984375" customWidth="1"/>
    <col min="14852" max="14852" width="30.59765625" customWidth="1"/>
    <col min="14853" max="14853" width="28.09765625" customWidth="1"/>
    <col min="14854" max="14854" width="29.3984375" customWidth="1"/>
    <col min="14855" max="14855" width="23.3984375" customWidth="1"/>
    <col min="14856" max="14856" width="33" customWidth="1"/>
    <col min="14857" max="14857" width="68.296875" customWidth="1"/>
    <col min="14858" max="14858" width="73" customWidth="1"/>
    <col min="14859" max="14859" width="22.296875" customWidth="1"/>
    <col min="14860" max="14860" width="16.296875" bestFit="1" customWidth="1"/>
    <col min="14861" max="14862" width="18.69921875" customWidth="1"/>
    <col min="14863" max="14863" width="10.59765625" customWidth="1"/>
    <col min="14864" max="14864" width="21.09765625" customWidth="1"/>
    <col min="14865" max="14865" width="11.69921875" customWidth="1"/>
    <col min="14866" max="14901" width="9.09765625" customWidth="1"/>
    <col min="15105" max="15105" width="4.59765625" customWidth="1"/>
    <col min="15106" max="15106" width="20" customWidth="1"/>
    <col min="15107" max="15107" width="49.3984375" customWidth="1"/>
    <col min="15108" max="15108" width="30.59765625" customWidth="1"/>
    <col min="15109" max="15109" width="28.09765625" customWidth="1"/>
    <col min="15110" max="15110" width="29.3984375" customWidth="1"/>
    <col min="15111" max="15111" width="23.3984375" customWidth="1"/>
    <col min="15112" max="15112" width="33" customWidth="1"/>
    <col min="15113" max="15113" width="68.296875" customWidth="1"/>
    <col min="15114" max="15114" width="73" customWidth="1"/>
    <col min="15115" max="15115" width="22.296875" customWidth="1"/>
    <col min="15116" max="15116" width="16.296875" bestFit="1" customWidth="1"/>
    <col min="15117" max="15118" width="18.69921875" customWidth="1"/>
    <col min="15119" max="15119" width="10.59765625" customWidth="1"/>
    <col min="15120" max="15120" width="21.09765625" customWidth="1"/>
    <col min="15121" max="15121" width="11.69921875" customWidth="1"/>
    <col min="15122" max="15157" width="9.09765625" customWidth="1"/>
    <col min="15361" max="15361" width="4.59765625" customWidth="1"/>
    <col min="15362" max="15362" width="20" customWidth="1"/>
    <col min="15363" max="15363" width="49.3984375" customWidth="1"/>
    <col min="15364" max="15364" width="30.59765625" customWidth="1"/>
    <col min="15365" max="15365" width="28.09765625" customWidth="1"/>
    <col min="15366" max="15366" width="29.3984375" customWidth="1"/>
    <col min="15367" max="15367" width="23.3984375" customWidth="1"/>
    <col min="15368" max="15368" width="33" customWidth="1"/>
    <col min="15369" max="15369" width="68.296875" customWidth="1"/>
    <col min="15370" max="15370" width="73" customWidth="1"/>
    <col min="15371" max="15371" width="22.296875" customWidth="1"/>
    <col min="15372" max="15372" width="16.296875" bestFit="1" customWidth="1"/>
    <col min="15373" max="15374" width="18.69921875" customWidth="1"/>
    <col min="15375" max="15375" width="10.59765625" customWidth="1"/>
    <col min="15376" max="15376" width="21.09765625" customWidth="1"/>
    <col min="15377" max="15377" width="11.69921875" customWidth="1"/>
    <col min="15378" max="15413" width="9.09765625" customWidth="1"/>
    <col min="15617" max="15617" width="4.59765625" customWidth="1"/>
    <col min="15618" max="15618" width="20" customWidth="1"/>
    <col min="15619" max="15619" width="49.3984375" customWidth="1"/>
    <col min="15620" max="15620" width="30.59765625" customWidth="1"/>
    <col min="15621" max="15621" width="28.09765625" customWidth="1"/>
    <col min="15622" max="15622" width="29.3984375" customWidth="1"/>
    <col min="15623" max="15623" width="23.3984375" customWidth="1"/>
    <col min="15624" max="15624" width="33" customWidth="1"/>
    <col min="15625" max="15625" width="68.296875" customWidth="1"/>
    <col min="15626" max="15626" width="73" customWidth="1"/>
    <col min="15627" max="15627" width="22.296875" customWidth="1"/>
    <col min="15628" max="15628" width="16.296875" bestFit="1" customWidth="1"/>
    <col min="15629" max="15630" width="18.69921875" customWidth="1"/>
    <col min="15631" max="15631" width="10.59765625" customWidth="1"/>
    <col min="15632" max="15632" width="21.09765625" customWidth="1"/>
    <col min="15633" max="15633" width="11.69921875" customWidth="1"/>
    <col min="15634" max="15669" width="9.09765625" customWidth="1"/>
    <col min="15873" max="15873" width="4.59765625" customWidth="1"/>
    <col min="15874" max="15874" width="20" customWidth="1"/>
    <col min="15875" max="15875" width="49.3984375" customWidth="1"/>
    <col min="15876" max="15876" width="30.59765625" customWidth="1"/>
    <col min="15877" max="15877" width="28.09765625" customWidth="1"/>
    <col min="15878" max="15878" width="29.3984375" customWidth="1"/>
    <col min="15879" max="15879" width="23.3984375" customWidth="1"/>
    <col min="15880" max="15880" width="33" customWidth="1"/>
    <col min="15881" max="15881" width="68.296875" customWidth="1"/>
    <col min="15882" max="15882" width="73" customWidth="1"/>
    <col min="15883" max="15883" width="22.296875" customWidth="1"/>
    <col min="15884" max="15884" width="16.296875" bestFit="1" customWidth="1"/>
    <col min="15885" max="15886" width="18.69921875" customWidth="1"/>
    <col min="15887" max="15887" width="10.59765625" customWidth="1"/>
    <col min="15888" max="15888" width="21.09765625" customWidth="1"/>
    <col min="15889" max="15889" width="11.69921875" customWidth="1"/>
    <col min="15890" max="15925" width="9.09765625" customWidth="1"/>
    <col min="16129" max="16129" width="4.59765625" customWidth="1"/>
    <col min="16130" max="16130" width="20" customWidth="1"/>
    <col min="16131" max="16131" width="49.3984375" customWidth="1"/>
    <col min="16132" max="16132" width="30.59765625" customWidth="1"/>
    <col min="16133" max="16133" width="28.09765625" customWidth="1"/>
    <col min="16134" max="16134" width="29.3984375" customWidth="1"/>
    <col min="16135" max="16135" width="23.3984375" customWidth="1"/>
    <col min="16136" max="16136" width="33" customWidth="1"/>
    <col min="16137" max="16137" width="68.296875" customWidth="1"/>
    <col min="16138" max="16138" width="73" customWidth="1"/>
    <col min="16139" max="16139" width="22.296875" customWidth="1"/>
    <col min="16140" max="16140" width="16.296875" bestFit="1" customWidth="1"/>
    <col min="16141" max="16142" width="18.69921875" customWidth="1"/>
    <col min="16143" max="16143" width="10.59765625" customWidth="1"/>
    <col min="16144" max="16144" width="21.09765625" customWidth="1"/>
    <col min="16145" max="16145" width="11.69921875" customWidth="1"/>
    <col min="16146" max="16181" width="9.09765625" customWidth="1"/>
  </cols>
  <sheetData>
    <row r="1" spans="1:53" ht="19.95" customHeight="1">
      <c r="A1" s="1" t="s">
        <v>2441</v>
      </c>
      <c r="B1" s="1" t="s">
        <v>0</v>
      </c>
      <c r="C1" s="1" t="s">
        <v>1</v>
      </c>
      <c r="D1" s="1" t="s">
        <v>2</v>
      </c>
      <c r="E1" s="1" t="s">
        <v>3</v>
      </c>
      <c r="F1" s="1" t="s">
        <v>4</v>
      </c>
      <c r="G1" s="1" t="s">
        <v>5</v>
      </c>
      <c r="H1" s="1" t="s">
        <v>6</v>
      </c>
      <c r="I1" s="1" t="s">
        <v>7</v>
      </c>
      <c r="J1" s="1" t="s">
        <v>8</v>
      </c>
      <c r="K1" s="1" t="s">
        <v>9</v>
      </c>
      <c r="L1" s="1" t="s">
        <v>10</v>
      </c>
      <c r="M1" s="1" t="s">
        <v>11</v>
      </c>
      <c r="N1" s="2" t="s">
        <v>12</v>
      </c>
      <c r="O1" s="1" t="s">
        <v>13</v>
      </c>
      <c r="P1" s="1" t="s">
        <v>14</v>
      </c>
      <c r="Q1" s="1" t="s">
        <v>15</v>
      </c>
      <c r="R1" s="3" t="s">
        <v>16</v>
      </c>
      <c r="S1" s="3" t="s">
        <v>17</v>
      </c>
      <c r="T1" t="s">
        <v>18</v>
      </c>
    </row>
    <row r="2" spans="1:53" ht="19.95" customHeight="1">
      <c r="A2" s="4">
        <v>1</v>
      </c>
      <c r="B2" s="4" t="s">
        <v>2467</v>
      </c>
      <c r="C2" s="4" t="s">
        <v>20</v>
      </c>
      <c r="D2" s="4" t="s">
        <v>21</v>
      </c>
      <c r="E2" s="4" t="s">
        <v>31</v>
      </c>
      <c r="F2" s="4" t="s">
        <v>722</v>
      </c>
      <c r="G2" s="4" t="s">
        <v>24</v>
      </c>
      <c r="H2" s="4" t="s">
        <v>44</v>
      </c>
      <c r="I2" s="4" t="s">
        <v>2468</v>
      </c>
      <c r="J2" s="4" t="s">
        <v>2469</v>
      </c>
      <c r="K2" s="5">
        <v>45371</v>
      </c>
      <c r="L2" s="5">
        <v>45377</v>
      </c>
      <c r="M2" s="5">
        <v>45381</v>
      </c>
      <c r="N2" s="6">
        <f t="shared" ref="N2:N65" si="0">M2-L2</f>
        <v>4</v>
      </c>
      <c r="O2" s="4" t="s">
        <v>28</v>
      </c>
      <c r="P2" s="4">
        <v>3183.93</v>
      </c>
      <c r="Q2" s="4"/>
      <c r="R2" s="4" t="str">
        <f t="shared" ref="R2:R65" si="1">TEXT(L2,"YYY")</f>
        <v>2024</v>
      </c>
      <c r="S2" s="4" t="str">
        <f t="shared" ref="S2:S65" si="2">TEXT(L2,"MMMM")</f>
        <v>March</v>
      </c>
      <c r="T2" s="4">
        <f t="shared" ref="T2:T65" si="3">P2</f>
        <v>3183.93</v>
      </c>
      <c r="U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row>
    <row r="3" spans="1:53" ht="19.95" customHeight="1">
      <c r="A3" s="4">
        <v>2</v>
      </c>
      <c r="B3" s="4" t="s">
        <v>19</v>
      </c>
      <c r="C3" s="4" t="s">
        <v>20</v>
      </c>
      <c r="D3" s="4" t="s">
        <v>21</v>
      </c>
      <c r="E3" s="4" t="s">
        <v>154</v>
      </c>
      <c r="F3" s="4" t="s">
        <v>23</v>
      </c>
      <c r="G3" s="4" t="s">
        <v>24</v>
      </c>
      <c r="H3" s="4" t="s">
        <v>25</v>
      </c>
      <c r="I3" s="4" t="s">
        <v>26</v>
      </c>
      <c r="J3" s="4" t="s">
        <v>27</v>
      </c>
      <c r="K3" s="5">
        <v>45366</v>
      </c>
      <c r="L3" s="5">
        <v>45374</v>
      </c>
      <c r="M3" s="5">
        <v>45383</v>
      </c>
      <c r="N3" s="6">
        <f t="shared" si="0"/>
        <v>9</v>
      </c>
      <c r="O3" s="4" t="s">
        <v>28</v>
      </c>
      <c r="P3" s="4">
        <v>5459.46</v>
      </c>
      <c r="Q3" s="4"/>
      <c r="R3" s="4" t="str">
        <f t="shared" si="1"/>
        <v>2024</v>
      </c>
      <c r="S3" s="4" t="str">
        <f t="shared" si="2"/>
        <v>March</v>
      </c>
      <c r="T3" s="4">
        <f t="shared" si="3"/>
        <v>5459.46</v>
      </c>
      <c r="U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row>
    <row r="4" spans="1:53" ht="19.95" customHeight="1">
      <c r="A4" s="4">
        <v>3</v>
      </c>
      <c r="B4" s="4" t="s">
        <v>29</v>
      </c>
      <c r="C4" s="4" t="s">
        <v>20</v>
      </c>
      <c r="D4" s="4" t="s">
        <v>30</v>
      </c>
      <c r="E4" s="4" t="s">
        <v>31</v>
      </c>
      <c r="F4" s="4" t="s">
        <v>23</v>
      </c>
      <c r="G4" s="4" t="s">
        <v>24</v>
      </c>
      <c r="H4" s="4" t="s">
        <v>25</v>
      </c>
      <c r="I4" s="4" t="s">
        <v>32</v>
      </c>
      <c r="J4" s="4" t="s">
        <v>33</v>
      </c>
      <c r="K4" s="5">
        <v>45365</v>
      </c>
      <c r="L4" s="5">
        <v>45370</v>
      </c>
      <c r="M4" s="5">
        <v>45370</v>
      </c>
      <c r="N4" s="6">
        <f t="shared" si="0"/>
        <v>0</v>
      </c>
      <c r="O4" s="4" t="s">
        <v>28</v>
      </c>
      <c r="P4" s="4">
        <v>194.99</v>
      </c>
      <c r="Q4" s="4"/>
      <c r="R4" s="4" t="str">
        <f t="shared" si="1"/>
        <v>2024</v>
      </c>
      <c r="S4" s="4" t="str">
        <f t="shared" si="2"/>
        <v>March</v>
      </c>
      <c r="T4" s="4">
        <f t="shared" si="3"/>
        <v>194.99</v>
      </c>
      <c r="U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row>
    <row r="5" spans="1:53" ht="19.95" customHeight="1">
      <c r="A5" s="4">
        <v>4</v>
      </c>
      <c r="B5" s="4" t="s">
        <v>2470</v>
      </c>
      <c r="C5" s="4" t="s">
        <v>20</v>
      </c>
      <c r="D5" s="4" t="s">
        <v>21</v>
      </c>
      <c r="E5" s="4" t="s">
        <v>76</v>
      </c>
      <c r="F5" s="4" t="s">
        <v>77</v>
      </c>
      <c r="G5" s="4" t="s">
        <v>24</v>
      </c>
      <c r="H5" s="4" t="s">
        <v>49</v>
      </c>
      <c r="I5" s="4" t="s">
        <v>2471</v>
      </c>
      <c r="J5" s="4" t="s">
        <v>2472</v>
      </c>
      <c r="K5" s="5">
        <v>45350</v>
      </c>
      <c r="L5" s="5">
        <v>45379</v>
      </c>
      <c r="M5" s="5">
        <v>45389</v>
      </c>
      <c r="N5" s="6">
        <f t="shared" si="0"/>
        <v>10</v>
      </c>
      <c r="O5" s="4" t="s">
        <v>28</v>
      </c>
      <c r="P5" s="4">
        <v>10129.35</v>
      </c>
      <c r="Q5" s="4"/>
      <c r="R5" s="4" t="str">
        <f t="shared" si="1"/>
        <v>2024</v>
      </c>
      <c r="S5" s="4" t="str">
        <f t="shared" si="2"/>
        <v>March</v>
      </c>
      <c r="T5" s="4">
        <f t="shared" si="3"/>
        <v>10129.35</v>
      </c>
      <c r="U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row>
    <row r="6" spans="1:53" ht="19.95" customHeight="1">
      <c r="A6" s="4">
        <v>5</v>
      </c>
      <c r="B6" s="4" t="s">
        <v>2473</v>
      </c>
      <c r="C6" s="4" t="s">
        <v>20</v>
      </c>
      <c r="D6" s="4" t="s">
        <v>21</v>
      </c>
      <c r="E6" s="4" t="s">
        <v>31</v>
      </c>
      <c r="F6" s="4" t="s">
        <v>23</v>
      </c>
      <c r="G6" s="4" t="s">
        <v>24</v>
      </c>
      <c r="H6" s="4" t="s">
        <v>25</v>
      </c>
      <c r="I6" s="4" t="s">
        <v>2474</v>
      </c>
      <c r="J6" s="4" t="s">
        <v>2475</v>
      </c>
      <c r="K6" s="5">
        <v>45346</v>
      </c>
      <c r="L6" s="5">
        <v>45382</v>
      </c>
      <c r="M6" s="5">
        <v>45389</v>
      </c>
      <c r="N6" s="6">
        <f t="shared" si="0"/>
        <v>7</v>
      </c>
      <c r="O6" s="4" t="s">
        <v>28</v>
      </c>
      <c r="P6" s="4">
        <v>6178</v>
      </c>
      <c r="Q6" s="4"/>
      <c r="R6" s="4" t="str">
        <f t="shared" si="1"/>
        <v>2024</v>
      </c>
      <c r="S6" s="4" t="str">
        <f t="shared" si="2"/>
        <v>March</v>
      </c>
      <c r="T6" s="4">
        <f t="shared" si="3"/>
        <v>6178</v>
      </c>
      <c r="U6" s="4"/>
      <c r="W6" s="4"/>
      <c r="X6" s="4"/>
      <c r="Y6" s="4"/>
      <c r="Z6" s="4"/>
      <c r="AA6" s="4"/>
      <c r="AB6" s="4"/>
      <c r="AC6" s="4"/>
      <c r="AD6" s="4"/>
      <c r="AE6" s="4"/>
      <c r="AF6" s="4"/>
      <c r="AG6" s="4"/>
      <c r="AH6" s="4"/>
      <c r="AI6" s="4"/>
      <c r="AJ6" s="4"/>
      <c r="AK6" s="4"/>
      <c r="AL6" s="4"/>
      <c r="AM6" s="4"/>
      <c r="AN6" s="4"/>
      <c r="AO6" s="4"/>
      <c r="AP6" s="4"/>
      <c r="AQ6" s="4"/>
      <c r="AR6" s="4"/>
      <c r="AS6" s="4"/>
      <c r="AT6" s="4"/>
      <c r="AU6" s="4"/>
      <c r="AV6" s="4"/>
      <c r="AW6" s="4"/>
      <c r="AX6" s="4"/>
      <c r="AY6" s="4"/>
      <c r="AZ6" s="4"/>
      <c r="BA6" s="4"/>
    </row>
    <row r="7" spans="1:53" ht="19.95" customHeight="1">
      <c r="A7" s="4">
        <v>6</v>
      </c>
      <c r="B7" s="4" t="s">
        <v>2476</v>
      </c>
      <c r="C7" s="4" t="s">
        <v>20</v>
      </c>
      <c r="D7" s="4" t="s">
        <v>21</v>
      </c>
      <c r="E7" s="4" t="s">
        <v>31</v>
      </c>
      <c r="F7" s="4" t="s">
        <v>23</v>
      </c>
      <c r="G7" s="4" t="s">
        <v>24</v>
      </c>
      <c r="H7" s="4" t="s">
        <v>25</v>
      </c>
      <c r="I7" s="4" t="s">
        <v>2477</v>
      </c>
      <c r="J7" s="4" t="s">
        <v>2478</v>
      </c>
      <c r="K7" s="5">
        <v>45346</v>
      </c>
      <c r="L7" s="5">
        <v>45379</v>
      </c>
      <c r="M7" s="5">
        <v>45387</v>
      </c>
      <c r="N7" s="6">
        <f t="shared" si="0"/>
        <v>8</v>
      </c>
      <c r="O7" s="4" t="s">
        <v>28</v>
      </c>
      <c r="P7" s="4">
        <v>855</v>
      </c>
      <c r="Q7" s="4"/>
      <c r="R7" s="4" t="str">
        <f t="shared" si="1"/>
        <v>2024</v>
      </c>
      <c r="S7" s="4" t="str">
        <f t="shared" si="2"/>
        <v>March</v>
      </c>
      <c r="T7" s="4">
        <f t="shared" si="3"/>
        <v>855</v>
      </c>
      <c r="U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row>
    <row r="8" spans="1:53" ht="19.95" customHeight="1">
      <c r="A8" s="4">
        <v>7</v>
      </c>
      <c r="B8" s="4" t="s">
        <v>34</v>
      </c>
      <c r="C8" s="4" t="s">
        <v>20</v>
      </c>
      <c r="D8" s="4" t="s">
        <v>21</v>
      </c>
      <c r="E8" s="4" t="s">
        <v>22</v>
      </c>
      <c r="F8" s="4" t="s">
        <v>23</v>
      </c>
      <c r="G8" s="4" t="s">
        <v>24</v>
      </c>
      <c r="H8" s="4" t="s">
        <v>25</v>
      </c>
      <c r="I8" s="4" t="s">
        <v>35</v>
      </c>
      <c r="J8" s="4" t="s">
        <v>36</v>
      </c>
      <c r="K8" s="5">
        <v>45345</v>
      </c>
      <c r="L8" s="5">
        <v>45358</v>
      </c>
      <c r="M8" s="5">
        <v>45367</v>
      </c>
      <c r="N8" s="6">
        <f t="shared" si="0"/>
        <v>9</v>
      </c>
      <c r="O8" s="4" t="s">
        <v>28</v>
      </c>
      <c r="P8" s="4">
        <v>3463.59</v>
      </c>
      <c r="Q8" s="4"/>
      <c r="R8" s="4" t="str">
        <f t="shared" si="1"/>
        <v>2024</v>
      </c>
      <c r="S8" s="4" t="str">
        <f t="shared" si="2"/>
        <v>March</v>
      </c>
      <c r="T8" s="4">
        <f t="shared" si="3"/>
        <v>3463.59</v>
      </c>
      <c r="U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row>
    <row r="9" spans="1:53" ht="19.95" customHeight="1">
      <c r="A9" s="4">
        <v>8</v>
      </c>
      <c r="B9" s="4" t="s">
        <v>37</v>
      </c>
      <c r="C9" s="4" t="s">
        <v>20</v>
      </c>
      <c r="D9" s="4" t="s">
        <v>38</v>
      </c>
      <c r="E9" s="4" t="s">
        <v>39</v>
      </c>
      <c r="F9" s="4" t="s">
        <v>23</v>
      </c>
      <c r="G9" s="4" t="s">
        <v>24</v>
      </c>
      <c r="H9" s="4" t="s">
        <v>25</v>
      </c>
      <c r="I9" s="4" t="s">
        <v>40</v>
      </c>
      <c r="J9" s="4" t="s">
        <v>41</v>
      </c>
      <c r="K9" s="5">
        <v>45338</v>
      </c>
      <c r="L9" s="5">
        <v>45338</v>
      </c>
      <c r="M9" s="5">
        <v>45338</v>
      </c>
      <c r="N9" s="6">
        <f t="shared" si="0"/>
        <v>0</v>
      </c>
      <c r="O9" s="4" t="s">
        <v>28</v>
      </c>
      <c r="P9" s="4">
        <v>93</v>
      </c>
      <c r="Q9" s="4"/>
      <c r="R9" s="4" t="str">
        <f t="shared" si="1"/>
        <v>2024</v>
      </c>
      <c r="S9" s="4" t="str">
        <f t="shared" si="2"/>
        <v>February</v>
      </c>
      <c r="T9" s="4">
        <f t="shared" si="3"/>
        <v>93</v>
      </c>
      <c r="U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row>
    <row r="10" spans="1:53" ht="19.95" customHeight="1">
      <c r="A10" s="4">
        <v>9</v>
      </c>
      <c r="B10" s="4" t="s">
        <v>42</v>
      </c>
      <c r="C10" s="4" t="s">
        <v>20</v>
      </c>
      <c r="D10" s="4" t="s">
        <v>21</v>
      </c>
      <c r="E10" s="4" t="s">
        <v>22</v>
      </c>
      <c r="F10" s="4" t="s">
        <v>43</v>
      </c>
      <c r="G10" s="4" t="s">
        <v>24</v>
      </c>
      <c r="H10" s="4" t="s">
        <v>44</v>
      </c>
      <c r="I10" s="4" t="s">
        <v>45</v>
      </c>
      <c r="J10" s="4" t="s">
        <v>46</v>
      </c>
      <c r="K10" s="5">
        <v>45332</v>
      </c>
      <c r="L10" s="5">
        <v>45371</v>
      </c>
      <c r="M10" s="5">
        <v>45376</v>
      </c>
      <c r="N10" s="6">
        <f t="shared" si="0"/>
        <v>5</v>
      </c>
      <c r="O10" s="4" t="s">
        <v>28</v>
      </c>
      <c r="P10" s="4">
        <v>2074.69</v>
      </c>
      <c r="Q10" s="4"/>
      <c r="R10" s="4" t="str">
        <f t="shared" si="1"/>
        <v>2024</v>
      </c>
      <c r="S10" s="4" t="str">
        <f t="shared" si="2"/>
        <v>March</v>
      </c>
      <c r="T10" s="4">
        <f t="shared" si="3"/>
        <v>2074.69</v>
      </c>
      <c r="U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row>
    <row r="11" spans="1:53" ht="19.95" customHeight="1">
      <c r="A11" s="4">
        <v>10</v>
      </c>
      <c r="B11" s="4" t="s">
        <v>2479</v>
      </c>
      <c r="C11" s="4" t="s">
        <v>20</v>
      </c>
      <c r="D11" s="4" t="s">
        <v>21</v>
      </c>
      <c r="E11" s="4" t="s">
        <v>22</v>
      </c>
      <c r="F11" s="4" t="s">
        <v>23</v>
      </c>
      <c r="G11" s="4" t="s">
        <v>223</v>
      </c>
      <c r="H11" s="4" t="s">
        <v>25</v>
      </c>
      <c r="I11" s="4" t="s">
        <v>2480</v>
      </c>
      <c r="J11" s="4" t="s">
        <v>2481</v>
      </c>
      <c r="K11" s="5">
        <v>45331</v>
      </c>
      <c r="L11" s="5">
        <v>45381</v>
      </c>
      <c r="M11" s="5">
        <v>45381</v>
      </c>
      <c r="N11" s="6">
        <f t="shared" si="0"/>
        <v>0</v>
      </c>
      <c r="O11" s="4" t="s">
        <v>28</v>
      </c>
      <c r="P11" s="4">
        <v>4351.82</v>
      </c>
      <c r="Q11" s="4"/>
      <c r="R11" s="4" t="str">
        <f t="shared" si="1"/>
        <v>2024</v>
      </c>
      <c r="S11" s="4" t="str">
        <f t="shared" si="2"/>
        <v>March</v>
      </c>
      <c r="T11" s="4">
        <f t="shared" si="3"/>
        <v>4351.82</v>
      </c>
      <c r="U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row>
    <row r="12" spans="1:53" ht="19.95" customHeight="1">
      <c r="A12" s="4">
        <v>11</v>
      </c>
      <c r="B12" s="4" t="s">
        <v>47</v>
      </c>
      <c r="C12" s="4" t="s">
        <v>20</v>
      </c>
      <c r="D12" s="4" t="s">
        <v>21</v>
      </c>
      <c r="E12" s="4" t="s">
        <v>39</v>
      </c>
      <c r="F12" s="4" t="s">
        <v>48</v>
      </c>
      <c r="G12" s="4" t="s">
        <v>24</v>
      </c>
      <c r="H12" s="4" t="s">
        <v>49</v>
      </c>
      <c r="I12" s="4" t="s">
        <v>50</v>
      </c>
      <c r="J12" s="4" t="s">
        <v>51</v>
      </c>
      <c r="K12" s="5">
        <v>45329</v>
      </c>
      <c r="L12" s="5">
        <v>45365</v>
      </c>
      <c r="M12" s="5">
        <v>45375</v>
      </c>
      <c r="N12" s="6">
        <f t="shared" si="0"/>
        <v>10</v>
      </c>
      <c r="O12" s="4" t="s">
        <v>28</v>
      </c>
      <c r="P12" s="4">
        <v>4584.66</v>
      </c>
      <c r="Q12" s="4"/>
      <c r="R12" s="4" t="str">
        <f t="shared" si="1"/>
        <v>2024</v>
      </c>
      <c r="S12" s="4" t="str">
        <f t="shared" si="2"/>
        <v>March</v>
      </c>
      <c r="T12" s="4">
        <f t="shared" si="3"/>
        <v>4584.66</v>
      </c>
      <c r="U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row>
    <row r="13" spans="1:53" ht="19.95" customHeight="1">
      <c r="A13" s="4">
        <v>12</v>
      </c>
      <c r="B13" s="4" t="s">
        <v>52</v>
      </c>
      <c r="C13" s="4" t="s">
        <v>20</v>
      </c>
      <c r="D13" s="4" t="s">
        <v>21</v>
      </c>
      <c r="E13" s="4" t="s">
        <v>22</v>
      </c>
      <c r="F13" s="4" t="s">
        <v>23</v>
      </c>
      <c r="G13" s="4" t="s">
        <v>24</v>
      </c>
      <c r="H13" s="4" t="s">
        <v>25</v>
      </c>
      <c r="I13" s="4" t="s">
        <v>53</v>
      </c>
      <c r="J13" s="4" t="s">
        <v>54</v>
      </c>
      <c r="K13" s="5">
        <v>45328</v>
      </c>
      <c r="L13" s="5">
        <v>45353</v>
      </c>
      <c r="M13" s="5">
        <v>45366</v>
      </c>
      <c r="N13" s="6">
        <f t="shared" si="0"/>
        <v>13</v>
      </c>
      <c r="O13" s="4" t="s">
        <v>28</v>
      </c>
      <c r="P13" s="4">
        <v>5227.7299999999996</v>
      </c>
      <c r="Q13" s="4"/>
      <c r="R13" s="4" t="str">
        <f t="shared" si="1"/>
        <v>2024</v>
      </c>
      <c r="S13" s="4" t="str">
        <f t="shared" si="2"/>
        <v>March</v>
      </c>
      <c r="T13" s="4">
        <f t="shared" si="3"/>
        <v>5227.7299999999996</v>
      </c>
      <c r="U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row>
    <row r="14" spans="1:53" ht="19.95" customHeight="1">
      <c r="A14" s="4">
        <v>13</v>
      </c>
      <c r="B14" s="4" t="s">
        <v>2482</v>
      </c>
      <c r="C14" s="4" t="s">
        <v>20</v>
      </c>
      <c r="D14" s="4" t="s">
        <v>38</v>
      </c>
      <c r="E14" s="4" t="s">
        <v>39</v>
      </c>
      <c r="F14" s="4" t="s">
        <v>23</v>
      </c>
      <c r="G14" s="4" t="s">
        <v>24</v>
      </c>
      <c r="H14" s="4" t="s">
        <v>25</v>
      </c>
      <c r="I14" s="4" t="s">
        <v>2483</v>
      </c>
      <c r="J14" s="4" t="s">
        <v>2484</v>
      </c>
      <c r="K14" s="5">
        <v>45322</v>
      </c>
      <c r="L14" s="5">
        <v>45378</v>
      </c>
      <c r="M14" s="5">
        <v>45394</v>
      </c>
      <c r="N14" s="6">
        <f t="shared" si="0"/>
        <v>16</v>
      </c>
      <c r="O14" s="4" t="s">
        <v>28</v>
      </c>
      <c r="P14" s="4">
        <v>7946.26</v>
      </c>
      <c r="Q14" s="4"/>
      <c r="R14" s="4" t="str">
        <f t="shared" si="1"/>
        <v>2024</v>
      </c>
      <c r="S14" s="4" t="str">
        <f t="shared" si="2"/>
        <v>March</v>
      </c>
      <c r="T14" s="4">
        <f t="shared" si="3"/>
        <v>7946.26</v>
      </c>
      <c r="U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row>
    <row r="15" spans="1:53" ht="19.95" customHeight="1">
      <c r="A15" s="4">
        <v>14</v>
      </c>
      <c r="B15" s="4" t="s">
        <v>55</v>
      </c>
      <c r="C15" s="4" t="s">
        <v>20</v>
      </c>
      <c r="D15" s="4" t="s">
        <v>56</v>
      </c>
      <c r="E15" s="4" t="s">
        <v>22</v>
      </c>
      <c r="F15" s="4" t="s">
        <v>57</v>
      </c>
      <c r="G15" s="4" t="s">
        <v>24</v>
      </c>
      <c r="H15" s="4" t="s">
        <v>58</v>
      </c>
      <c r="I15" s="4" t="s">
        <v>59</v>
      </c>
      <c r="J15" s="4" t="s">
        <v>60</v>
      </c>
      <c r="K15" s="5">
        <v>45324</v>
      </c>
      <c r="L15" s="5">
        <v>45374</v>
      </c>
      <c r="M15" s="5">
        <v>45389</v>
      </c>
      <c r="N15" s="6">
        <f t="shared" si="0"/>
        <v>15</v>
      </c>
      <c r="O15" s="4" t="s">
        <v>28</v>
      </c>
      <c r="P15" s="4">
        <v>19086.099999999999</v>
      </c>
      <c r="Q15" s="4"/>
      <c r="R15" s="4" t="str">
        <f t="shared" si="1"/>
        <v>2024</v>
      </c>
      <c r="S15" s="4" t="str">
        <f t="shared" si="2"/>
        <v>March</v>
      </c>
      <c r="T15" s="4">
        <f t="shared" si="3"/>
        <v>19086.099999999999</v>
      </c>
      <c r="U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row>
    <row r="16" spans="1:53" ht="19.95" customHeight="1">
      <c r="A16" s="4">
        <v>15</v>
      </c>
      <c r="B16" s="4" t="s">
        <v>61</v>
      </c>
      <c r="C16" s="4" t="s">
        <v>20</v>
      </c>
      <c r="D16" s="4" t="s">
        <v>56</v>
      </c>
      <c r="E16" s="4" t="s">
        <v>39</v>
      </c>
      <c r="F16" s="4" t="s">
        <v>23</v>
      </c>
      <c r="G16" s="4" t="s">
        <v>24</v>
      </c>
      <c r="H16" s="4" t="s">
        <v>25</v>
      </c>
      <c r="I16" s="4" t="s">
        <v>62</v>
      </c>
      <c r="J16" s="4" t="s">
        <v>63</v>
      </c>
      <c r="K16" s="5">
        <v>45321</v>
      </c>
      <c r="L16" s="5">
        <v>45346</v>
      </c>
      <c r="M16" s="5">
        <v>45349</v>
      </c>
      <c r="N16" s="6">
        <f t="shared" si="0"/>
        <v>3</v>
      </c>
      <c r="O16" s="4" t="s">
        <v>28</v>
      </c>
      <c r="P16" s="4">
        <v>1197.58</v>
      </c>
      <c r="Q16" s="4"/>
      <c r="R16" s="4" t="str">
        <f t="shared" si="1"/>
        <v>2024</v>
      </c>
      <c r="S16" s="4" t="str">
        <f t="shared" si="2"/>
        <v>February</v>
      </c>
      <c r="T16" s="4">
        <f t="shared" si="3"/>
        <v>1197.58</v>
      </c>
      <c r="U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row>
    <row r="17" spans="1:53" ht="19.95" customHeight="1">
      <c r="A17" s="4">
        <v>16</v>
      </c>
      <c r="B17" s="4" t="s">
        <v>64</v>
      </c>
      <c r="C17" s="4" t="s">
        <v>65</v>
      </c>
      <c r="D17" s="4" t="s">
        <v>21</v>
      </c>
      <c r="E17" s="4" t="s">
        <v>31</v>
      </c>
      <c r="F17" s="4" t="s">
        <v>23</v>
      </c>
      <c r="G17" s="4" t="s">
        <v>24</v>
      </c>
      <c r="H17" s="4" t="s">
        <v>25</v>
      </c>
      <c r="I17" s="4" t="s">
        <v>66</v>
      </c>
      <c r="J17" s="4" t="s">
        <v>67</v>
      </c>
      <c r="K17" s="5">
        <v>45315</v>
      </c>
      <c r="L17" s="5"/>
      <c r="M17" s="4"/>
      <c r="N17" s="6">
        <f t="shared" si="0"/>
        <v>0</v>
      </c>
      <c r="O17" s="4" t="s">
        <v>28</v>
      </c>
      <c r="P17" s="4">
        <v>170</v>
      </c>
      <c r="Q17" s="4"/>
      <c r="R17" s="4"/>
      <c r="S17" s="4" t="str">
        <f t="shared" si="2"/>
        <v>January</v>
      </c>
      <c r="T17" s="4">
        <f t="shared" si="3"/>
        <v>170</v>
      </c>
      <c r="U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row>
    <row r="18" spans="1:53" ht="19.95" customHeight="1">
      <c r="A18" s="4">
        <v>17</v>
      </c>
      <c r="B18" s="4" t="s">
        <v>68</v>
      </c>
      <c r="C18" s="4" t="s">
        <v>20</v>
      </c>
      <c r="D18" s="4" t="s">
        <v>38</v>
      </c>
      <c r="E18" s="4" t="s">
        <v>39</v>
      </c>
      <c r="F18" s="4" t="s">
        <v>23</v>
      </c>
      <c r="G18" s="4" t="s">
        <v>24</v>
      </c>
      <c r="H18" s="4" t="s">
        <v>25</v>
      </c>
      <c r="I18" s="4" t="s">
        <v>69</v>
      </c>
      <c r="J18" s="4" t="s">
        <v>70</v>
      </c>
      <c r="K18" s="5">
        <v>45313</v>
      </c>
      <c r="L18" s="5">
        <v>45328</v>
      </c>
      <c r="M18" s="5">
        <v>45339</v>
      </c>
      <c r="N18" s="6">
        <f t="shared" si="0"/>
        <v>11</v>
      </c>
      <c r="O18" s="4" t="s">
        <v>28</v>
      </c>
      <c r="P18" s="4">
        <v>650</v>
      </c>
      <c r="Q18" s="4"/>
      <c r="R18" s="4" t="str">
        <f t="shared" si="1"/>
        <v>2024</v>
      </c>
      <c r="S18" s="4" t="str">
        <f t="shared" si="2"/>
        <v>February</v>
      </c>
      <c r="T18" s="4">
        <f t="shared" si="3"/>
        <v>650</v>
      </c>
      <c r="U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row>
    <row r="19" spans="1:53" ht="19.95" customHeight="1">
      <c r="A19" s="4">
        <v>18</v>
      </c>
      <c r="B19" s="4" t="s">
        <v>71</v>
      </c>
      <c r="C19" s="4" t="s">
        <v>20</v>
      </c>
      <c r="D19" s="4" t="s">
        <v>38</v>
      </c>
      <c r="E19" s="4" t="s">
        <v>22</v>
      </c>
      <c r="F19" s="4" t="s">
        <v>23</v>
      </c>
      <c r="G19" s="4" t="s">
        <v>24</v>
      </c>
      <c r="H19" s="4" t="s">
        <v>25</v>
      </c>
      <c r="I19" s="4" t="s">
        <v>72</v>
      </c>
      <c r="J19" s="4" t="s">
        <v>73</v>
      </c>
      <c r="K19" s="5">
        <v>45310</v>
      </c>
      <c r="L19" s="5">
        <v>45343</v>
      </c>
      <c r="M19" s="5">
        <v>45364</v>
      </c>
      <c r="N19" s="6">
        <f t="shared" si="0"/>
        <v>21</v>
      </c>
      <c r="O19" s="4" t="s">
        <v>28</v>
      </c>
      <c r="P19" s="4">
        <v>9457.5300000000007</v>
      </c>
      <c r="Q19" s="4"/>
      <c r="R19" s="4" t="str">
        <f t="shared" si="1"/>
        <v>2024</v>
      </c>
      <c r="S19" s="4" t="str">
        <f t="shared" si="2"/>
        <v>February</v>
      </c>
      <c r="T19" s="4">
        <f t="shared" si="3"/>
        <v>9457.5300000000007</v>
      </c>
      <c r="U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row>
    <row r="20" spans="1:53" ht="19.95" customHeight="1">
      <c r="A20" s="4">
        <v>19</v>
      </c>
      <c r="B20" s="4" t="s">
        <v>74</v>
      </c>
      <c r="C20" s="4" t="s">
        <v>65</v>
      </c>
      <c r="D20" s="4" t="s">
        <v>75</v>
      </c>
      <c r="E20" s="4" t="s">
        <v>325</v>
      </c>
      <c r="F20" s="4" t="s">
        <v>77</v>
      </c>
      <c r="G20" s="4" t="s">
        <v>24</v>
      </c>
      <c r="H20" s="4" t="s">
        <v>44</v>
      </c>
      <c r="I20" s="4" t="s">
        <v>78</v>
      </c>
      <c r="J20" s="4" t="s">
        <v>79</v>
      </c>
      <c r="K20" s="5">
        <v>45309</v>
      </c>
      <c r="L20" s="5">
        <v>45322</v>
      </c>
      <c r="M20" s="5">
        <v>45328</v>
      </c>
      <c r="N20" s="6">
        <f t="shared" si="0"/>
        <v>6</v>
      </c>
      <c r="O20" s="4" t="s">
        <v>28</v>
      </c>
      <c r="P20" s="4">
        <v>3862.02</v>
      </c>
      <c r="Q20" s="4"/>
      <c r="R20" s="4" t="str">
        <f t="shared" si="1"/>
        <v>2024</v>
      </c>
      <c r="S20" s="4" t="str">
        <f t="shared" si="2"/>
        <v>January</v>
      </c>
      <c r="T20" s="4">
        <f t="shared" si="3"/>
        <v>3862.02</v>
      </c>
      <c r="U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row>
    <row r="21" spans="1:53" ht="19.95" customHeight="1">
      <c r="A21" s="4">
        <v>20</v>
      </c>
      <c r="B21" s="4" t="s">
        <v>80</v>
      </c>
      <c r="C21" s="4" t="s">
        <v>20</v>
      </c>
      <c r="D21" s="4" t="s">
        <v>56</v>
      </c>
      <c r="E21" s="4" t="s">
        <v>39</v>
      </c>
      <c r="F21" s="4" t="s">
        <v>23</v>
      </c>
      <c r="G21" s="4" t="s">
        <v>24</v>
      </c>
      <c r="H21" s="4" t="s">
        <v>25</v>
      </c>
      <c r="I21" s="4" t="s">
        <v>81</v>
      </c>
      <c r="J21" s="4" t="s">
        <v>82</v>
      </c>
      <c r="K21" s="5">
        <v>45308</v>
      </c>
      <c r="L21" s="5">
        <v>45346</v>
      </c>
      <c r="M21" s="5">
        <v>45360</v>
      </c>
      <c r="N21" s="6">
        <f t="shared" si="0"/>
        <v>14</v>
      </c>
      <c r="O21" s="4" t="s">
        <v>28</v>
      </c>
      <c r="P21" s="4">
        <v>22024.68</v>
      </c>
      <c r="Q21" s="4"/>
      <c r="R21" s="4" t="str">
        <f t="shared" si="1"/>
        <v>2024</v>
      </c>
      <c r="S21" s="4" t="str">
        <f t="shared" si="2"/>
        <v>February</v>
      </c>
      <c r="T21" s="4">
        <f t="shared" si="3"/>
        <v>22024.68</v>
      </c>
      <c r="U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row>
    <row r="22" spans="1:53" ht="19.95" customHeight="1">
      <c r="A22" s="4">
        <v>21</v>
      </c>
      <c r="B22" s="4" t="s">
        <v>83</v>
      </c>
      <c r="C22" s="4" t="s">
        <v>20</v>
      </c>
      <c r="D22" s="4" t="s">
        <v>21</v>
      </c>
      <c r="E22" s="4" t="s">
        <v>22</v>
      </c>
      <c r="F22" s="4" t="s">
        <v>23</v>
      </c>
      <c r="G22" s="4" t="s">
        <v>24</v>
      </c>
      <c r="H22" s="4" t="s">
        <v>25</v>
      </c>
      <c r="I22" s="4" t="s">
        <v>84</v>
      </c>
      <c r="J22" s="4" t="s">
        <v>85</v>
      </c>
      <c r="K22" s="5">
        <v>45308</v>
      </c>
      <c r="L22" s="5">
        <v>45322</v>
      </c>
      <c r="M22" s="5">
        <v>45389</v>
      </c>
      <c r="N22" s="6">
        <f t="shared" si="0"/>
        <v>67</v>
      </c>
      <c r="O22" s="4" t="s">
        <v>28</v>
      </c>
      <c r="P22" s="4">
        <v>9619.69</v>
      </c>
      <c r="Q22" s="4"/>
      <c r="R22" s="4" t="str">
        <f t="shared" si="1"/>
        <v>2024</v>
      </c>
      <c r="S22" s="4" t="str">
        <f t="shared" si="2"/>
        <v>January</v>
      </c>
      <c r="T22" s="4">
        <f t="shared" si="3"/>
        <v>9619.69</v>
      </c>
      <c r="U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row>
    <row r="23" spans="1:53" ht="19.95" customHeight="1">
      <c r="A23" s="4">
        <v>22</v>
      </c>
      <c r="B23" s="4" t="s">
        <v>2485</v>
      </c>
      <c r="C23" s="4" t="s">
        <v>20</v>
      </c>
      <c r="D23" s="4" t="s">
        <v>21</v>
      </c>
      <c r="E23" s="4" t="s">
        <v>22</v>
      </c>
      <c r="F23" s="4" t="s">
        <v>23</v>
      </c>
      <c r="G23" s="4" t="s">
        <v>24</v>
      </c>
      <c r="H23" s="4" t="s">
        <v>25</v>
      </c>
      <c r="I23" s="4" t="s">
        <v>2486</v>
      </c>
      <c r="J23" s="4" t="s">
        <v>2487</v>
      </c>
      <c r="K23" s="5">
        <v>45307</v>
      </c>
      <c r="L23" s="5">
        <v>45381</v>
      </c>
      <c r="M23" s="5">
        <v>45394</v>
      </c>
      <c r="N23" s="6">
        <f t="shared" si="0"/>
        <v>13</v>
      </c>
      <c r="O23" s="4" t="s">
        <v>28</v>
      </c>
      <c r="P23" s="4">
        <v>3825.33</v>
      </c>
      <c r="Q23" s="4"/>
      <c r="R23" s="4" t="str">
        <f t="shared" si="1"/>
        <v>2024</v>
      </c>
      <c r="S23" s="4" t="str">
        <f t="shared" si="2"/>
        <v>March</v>
      </c>
      <c r="T23" s="4">
        <f t="shared" si="3"/>
        <v>3825.33</v>
      </c>
      <c r="U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row>
    <row r="24" spans="1:53" ht="19.95" customHeight="1">
      <c r="A24" s="4">
        <v>23</v>
      </c>
      <c r="B24" s="4" t="s">
        <v>86</v>
      </c>
      <c r="C24" s="4" t="s">
        <v>20</v>
      </c>
      <c r="D24" s="4" t="s">
        <v>21</v>
      </c>
      <c r="E24" s="4" t="s">
        <v>39</v>
      </c>
      <c r="F24" s="4" t="s">
        <v>23</v>
      </c>
      <c r="G24" s="4" t="s">
        <v>24</v>
      </c>
      <c r="H24" s="4" t="s">
        <v>25</v>
      </c>
      <c r="I24" s="4" t="s">
        <v>87</v>
      </c>
      <c r="J24" s="4" t="s">
        <v>88</v>
      </c>
      <c r="K24" s="5">
        <v>45307</v>
      </c>
      <c r="L24" s="5">
        <v>45333</v>
      </c>
      <c r="M24" s="5">
        <v>45354</v>
      </c>
      <c r="N24" s="6">
        <f t="shared" si="0"/>
        <v>21</v>
      </c>
      <c r="O24" s="4" t="s">
        <v>28</v>
      </c>
      <c r="P24" s="4">
        <v>9840.19</v>
      </c>
      <c r="Q24" s="4"/>
      <c r="R24" s="4" t="str">
        <f t="shared" si="1"/>
        <v>2024</v>
      </c>
      <c r="S24" s="4" t="str">
        <f t="shared" si="2"/>
        <v>February</v>
      </c>
      <c r="T24" s="4">
        <f t="shared" si="3"/>
        <v>9840.19</v>
      </c>
      <c r="U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row>
    <row r="25" spans="1:53" ht="19.95" customHeight="1">
      <c r="A25" s="4">
        <v>24</v>
      </c>
      <c r="B25" s="4" t="s">
        <v>89</v>
      </c>
      <c r="C25" s="4" t="s">
        <v>20</v>
      </c>
      <c r="D25" s="4" t="s">
        <v>21</v>
      </c>
      <c r="E25" s="4" t="s">
        <v>22</v>
      </c>
      <c r="F25" s="4" t="s">
        <v>43</v>
      </c>
      <c r="G25" s="4" t="s">
        <v>24</v>
      </c>
      <c r="H25" s="4" t="s">
        <v>44</v>
      </c>
      <c r="I25" s="4" t="s">
        <v>90</v>
      </c>
      <c r="J25" s="4" t="s">
        <v>91</v>
      </c>
      <c r="K25" s="5">
        <v>45306</v>
      </c>
      <c r="L25" s="5">
        <v>45352</v>
      </c>
      <c r="M25" s="5">
        <v>45363</v>
      </c>
      <c r="N25" s="6">
        <f t="shared" si="0"/>
        <v>11</v>
      </c>
      <c r="O25" s="4" t="s">
        <v>28</v>
      </c>
      <c r="P25" s="4">
        <v>4005.61</v>
      </c>
      <c r="Q25" s="4"/>
      <c r="R25" s="4" t="str">
        <f t="shared" si="1"/>
        <v>2024</v>
      </c>
      <c r="S25" s="4" t="str">
        <f t="shared" si="2"/>
        <v>March</v>
      </c>
      <c r="T25" s="4">
        <f t="shared" si="3"/>
        <v>4005.61</v>
      </c>
      <c r="U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row>
    <row r="26" spans="1:53" ht="19.95" customHeight="1">
      <c r="A26" s="4">
        <v>25</v>
      </c>
      <c r="B26" s="4" t="s">
        <v>92</v>
      </c>
      <c r="C26" s="4" t="s">
        <v>20</v>
      </c>
      <c r="D26" s="4" t="s">
        <v>21</v>
      </c>
      <c r="E26" s="4" t="s">
        <v>31</v>
      </c>
      <c r="F26" s="4" t="s">
        <v>23</v>
      </c>
      <c r="G26" s="4" t="s">
        <v>24</v>
      </c>
      <c r="H26" s="4" t="s">
        <v>25</v>
      </c>
      <c r="I26" s="4" t="s">
        <v>93</v>
      </c>
      <c r="J26" s="4" t="s">
        <v>94</v>
      </c>
      <c r="K26" s="5">
        <v>45304</v>
      </c>
      <c r="L26" s="5">
        <v>45319</v>
      </c>
      <c r="M26" s="5">
        <v>45331</v>
      </c>
      <c r="N26" s="6">
        <f t="shared" si="0"/>
        <v>12</v>
      </c>
      <c r="O26" s="4" t="s">
        <v>28</v>
      </c>
      <c r="P26" s="4">
        <v>8088</v>
      </c>
      <c r="Q26" s="4"/>
      <c r="R26" s="4" t="str">
        <f t="shared" si="1"/>
        <v>2024</v>
      </c>
      <c r="S26" s="4" t="str">
        <f t="shared" si="2"/>
        <v>January</v>
      </c>
      <c r="T26" s="4">
        <f t="shared" si="3"/>
        <v>8088</v>
      </c>
      <c r="U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4"/>
      <c r="AX26" s="4"/>
      <c r="AY26" s="4"/>
      <c r="AZ26" s="4"/>
      <c r="BA26" s="4"/>
    </row>
    <row r="27" spans="1:53" ht="19.95" customHeight="1">
      <c r="A27" s="4">
        <v>26</v>
      </c>
      <c r="B27" s="4" t="s">
        <v>95</v>
      </c>
      <c r="C27" s="4" t="s">
        <v>20</v>
      </c>
      <c r="D27" s="4" t="s">
        <v>21</v>
      </c>
      <c r="E27" s="4" t="s">
        <v>76</v>
      </c>
      <c r="F27" s="4" t="s">
        <v>96</v>
      </c>
      <c r="G27" s="4" t="s">
        <v>24</v>
      </c>
      <c r="H27" s="4" t="s">
        <v>97</v>
      </c>
      <c r="I27" s="4" t="s">
        <v>98</v>
      </c>
      <c r="J27" s="4" t="s">
        <v>99</v>
      </c>
      <c r="K27" s="5">
        <v>45304</v>
      </c>
      <c r="L27" s="5">
        <v>45298</v>
      </c>
      <c r="M27" s="5">
        <v>45339</v>
      </c>
      <c r="N27" s="6">
        <f t="shared" si="0"/>
        <v>41</v>
      </c>
      <c r="O27" s="4" t="s">
        <v>28</v>
      </c>
      <c r="P27" s="4">
        <v>5209.3999999999996</v>
      </c>
      <c r="Q27" s="4"/>
      <c r="R27" s="4" t="str">
        <f t="shared" si="1"/>
        <v>2024</v>
      </c>
      <c r="S27" s="4" t="str">
        <f t="shared" si="2"/>
        <v>January</v>
      </c>
      <c r="T27" s="4">
        <f t="shared" si="3"/>
        <v>5209.3999999999996</v>
      </c>
      <c r="U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c r="AW27" s="4"/>
      <c r="AX27" s="4"/>
      <c r="AY27" s="4"/>
      <c r="AZ27" s="4"/>
      <c r="BA27" s="4"/>
    </row>
    <row r="28" spans="1:53" ht="19.95" customHeight="1">
      <c r="A28" s="4">
        <v>27</v>
      </c>
      <c r="B28" s="4" t="s">
        <v>100</v>
      </c>
      <c r="C28" s="4" t="s">
        <v>20</v>
      </c>
      <c r="D28" s="4" t="s">
        <v>21</v>
      </c>
      <c r="E28" s="4" t="s">
        <v>31</v>
      </c>
      <c r="F28" s="4" t="s">
        <v>23</v>
      </c>
      <c r="G28" s="4" t="s">
        <v>24</v>
      </c>
      <c r="H28" s="4" t="s">
        <v>25</v>
      </c>
      <c r="I28" s="4" t="s">
        <v>101</v>
      </c>
      <c r="J28" s="4" t="s">
        <v>102</v>
      </c>
      <c r="K28" s="5">
        <v>45301</v>
      </c>
      <c r="L28" s="5">
        <v>45327</v>
      </c>
      <c r="M28" s="5">
        <v>45347</v>
      </c>
      <c r="N28" s="6">
        <f t="shared" si="0"/>
        <v>20</v>
      </c>
      <c r="O28" s="4" t="s">
        <v>28</v>
      </c>
      <c r="P28" s="4">
        <v>5264</v>
      </c>
      <c r="Q28" s="4"/>
      <c r="R28" s="4" t="str">
        <f t="shared" si="1"/>
        <v>2024</v>
      </c>
      <c r="S28" s="4" t="str">
        <f t="shared" si="2"/>
        <v>February</v>
      </c>
      <c r="T28" s="4">
        <f t="shared" si="3"/>
        <v>5264</v>
      </c>
      <c r="U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row>
    <row r="29" spans="1:53" ht="19.95" customHeight="1">
      <c r="A29" s="4">
        <v>28</v>
      </c>
      <c r="B29" s="4" t="s">
        <v>103</v>
      </c>
      <c r="C29" s="4" t="s">
        <v>20</v>
      </c>
      <c r="D29" s="4" t="s">
        <v>21</v>
      </c>
      <c r="E29" s="4" t="s">
        <v>22</v>
      </c>
      <c r="F29" s="4" t="s">
        <v>23</v>
      </c>
      <c r="G29" s="4" t="s">
        <v>24</v>
      </c>
      <c r="H29" s="4" t="s">
        <v>25</v>
      </c>
      <c r="I29" s="4" t="s">
        <v>104</v>
      </c>
      <c r="J29" s="4" t="s">
        <v>105</v>
      </c>
      <c r="K29" s="5">
        <v>45296</v>
      </c>
      <c r="L29" s="5">
        <v>45328</v>
      </c>
      <c r="M29" s="5">
        <v>45346</v>
      </c>
      <c r="N29" s="6">
        <f t="shared" si="0"/>
        <v>18</v>
      </c>
      <c r="O29" s="4" t="s">
        <v>28</v>
      </c>
      <c r="P29" s="4">
        <v>18288.46</v>
      </c>
      <c r="Q29" s="4"/>
      <c r="R29" s="4" t="str">
        <f t="shared" si="1"/>
        <v>2024</v>
      </c>
      <c r="S29" s="4" t="str">
        <f t="shared" si="2"/>
        <v>February</v>
      </c>
      <c r="T29" s="4">
        <f t="shared" si="3"/>
        <v>18288.46</v>
      </c>
      <c r="U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row>
    <row r="30" spans="1:53" ht="19.95" customHeight="1">
      <c r="A30" s="4">
        <v>29</v>
      </c>
      <c r="B30" s="4" t="s">
        <v>106</v>
      </c>
      <c r="C30" s="4" t="s">
        <v>20</v>
      </c>
      <c r="D30" s="4" t="s">
        <v>21</v>
      </c>
      <c r="E30" s="4" t="s">
        <v>39</v>
      </c>
      <c r="F30" s="4" t="s">
        <v>43</v>
      </c>
      <c r="G30" s="4" t="s">
        <v>24</v>
      </c>
      <c r="H30" s="4" t="s">
        <v>44</v>
      </c>
      <c r="I30" s="4" t="s">
        <v>107</v>
      </c>
      <c r="J30" s="4" t="s">
        <v>108</v>
      </c>
      <c r="K30" s="5">
        <v>45296</v>
      </c>
      <c r="L30" s="5">
        <v>45308</v>
      </c>
      <c r="M30" s="5">
        <v>45327</v>
      </c>
      <c r="N30" s="6">
        <f t="shared" si="0"/>
        <v>19</v>
      </c>
      <c r="O30" s="4" t="s">
        <v>28</v>
      </c>
      <c r="P30" s="4">
        <v>6429.97</v>
      </c>
      <c r="Q30" s="4"/>
      <c r="R30" s="4" t="str">
        <f t="shared" si="1"/>
        <v>2024</v>
      </c>
      <c r="S30" s="4" t="str">
        <f t="shared" si="2"/>
        <v>January</v>
      </c>
      <c r="T30" s="4">
        <f t="shared" si="3"/>
        <v>6429.97</v>
      </c>
      <c r="U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row>
    <row r="31" spans="1:53" ht="19.95" customHeight="1">
      <c r="A31" s="4">
        <v>30</v>
      </c>
      <c r="B31" s="4" t="s">
        <v>109</v>
      </c>
      <c r="C31" s="4" t="s">
        <v>65</v>
      </c>
      <c r="D31" s="4" t="s">
        <v>21</v>
      </c>
      <c r="E31" s="4" t="s">
        <v>76</v>
      </c>
      <c r="F31" s="4" t="s">
        <v>96</v>
      </c>
      <c r="G31" s="4" t="s">
        <v>24</v>
      </c>
      <c r="H31" s="4" t="s">
        <v>97</v>
      </c>
      <c r="I31" s="4" t="s">
        <v>110</v>
      </c>
      <c r="J31" s="4" t="s">
        <v>111</v>
      </c>
      <c r="K31" s="5">
        <v>45296</v>
      </c>
      <c r="L31" s="5">
        <v>45330</v>
      </c>
      <c r="M31" s="5">
        <v>45340</v>
      </c>
      <c r="N31" s="6">
        <f t="shared" si="0"/>
        <v>10</v>
      </c>
      <c r="O31" s="4" t="s">
        <v>28</v>
      </c>
      <c r="P31" s="4">
        <v>7415.97</v>
      </c>
      <c r="Q31" s="4"/>
      <c r="R31" s="4" t="str">
        <f t="shared" si="1"/>
        <v>2024</v>
      </c>
      <c r="S31" s="4" t="str">
        <f t="shared" si="2"/>
        <v>February</v>
      </c>
      <c r="T31" s="4">
        <f t="shared" si="3"/>
        <v>7415.97</v>
      </c>
      <c r="U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row>
    <row r="32" spans="1:53" ht="19.95" customHeight="1">
      <c r="A32" s="4">
        <v>31</v>
      </c>
      <c r="B32" s="4" t="s">
        <v>112</v>
      </c>
      <c r="C32" s="4" t="s">
        <v>20</v>
      </c>
      <c r="D32" s="4" t="s">
        <v>21</v>
      </c>
      <c r="E32" s="4" t="s">
        <v>39</v>
      </c>
      <c r="F32" s="4" t="s">
        <v>23</v>
      </c>
      <c r="G32" s="4" t="s">
        <v>24</v>
      </c>
      <c r="H32" s="4" t="s">
        <v>25</v>
      </c>
      <c r="I32" s="4" t="s">
        <v>113</v>
      </c>
      <c r="J32" s="4" t="s">
        <v>114</v>
      </c>
      <c r="K32" s="5">
        <v>45292</v>
      </c>
      <c r="L32" s="5">
        <v>45347</v>
      </c>
      <c r="M32" s="5">
        <v>45364</v>
      </c>
      <c r="N32" s="6">
        <f t="shared" si="0"/>
        <v>17</v>
      </c>
      <c r="O32" s="4" t="s">
        <v>28</v>
      </c>
      <c r="P32" s="4">
        <v>23479.46</v>
      </c>
      <c r="Q32" s="4"/>
      <c r="R32" s="4" t="str">
        <f t="shared" si="1"/>
        <v>2024</v>
      </c>
      <c r="S32" s="4" t="str">
        <f t="shared" si="2"/>
        <v>February</v>
      </c>
      <c r="T32" s="4">
        <f t="shared" si="3"/>
        <v>23479.46</v>
      </c>
      <c r="U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row>
    <row r="33" spans="1:53" ht="19.95" customHeight="1">
      <c r="A33" s="4">
        <v>32</v>
      </c>
      <c r="B33" s="4" t="s">
        <v>115</v>
      </c>
      <c r="C33" s="4" t="s">
        <v>20</v>
      </c>
      <c r="D33" s="4" t="s">
        <v>38</v>
      </c>
      <c r="E33" s="4" t="s">
        <v>39</v>
      </c>
      <c r="F33" s="4" t="s">
        <v>116</v>
      </c>
      <c r="G33" s="4" t="s">
        <v>24</v>
      </c>
      <c r="H33" s="4" t="s">
        <v>117</v>
      </c>
      <c r="I33" s="4" t="s">
        <v>118</v>
      </c>
      <c r="J33" s="4" t="s">
        <v>119</v>
      </c>
      <c r="K33" s="5">
        <v>45288</v>
      </c>
      <c r="L33" s="5">
        <v>45330</v>
      </c>
      <c r="M33" s="5">
        <v>45342</v>
      </c>
      <c r="N33" s="6">
        <f t="shared" si="0"/>
        <v>12</v>
      </c>
      <c r="O33" s="4" t="s">
        <v>28</v>
      </c>
      <c r="P33" s="4">
        <v>1866.36</v>
      </c>
      <c r="Q33" s="4"/>
      <c r="R33" s="4" t="str">
        <f t="shared" si="1"/>
        <v>2024</v>
      </c>
      <c r="S33" s="4" t="str">
        <f t="shared" si="2"/>
        <v>February</v>
      </c>
      <c r="T33" s="4">
        <f t="shared" si="3"/>
        <v>1866.36</v>
      </c>
      <c r="U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row>
    <row r="34" spans="1:53" ht="19.95" customHeight="1">
      <c r="A34" s="4">
        <v>33</v>
      </c>
      <c r="B34" s="4" t="s">
        <v>120</v>
      </c>
      <c r="C34" s="4" t="s">
        <v>20</v>
      </c>
      <c r="D34" s="4" t="s">
        <v>21</v>
      </c>
      <c r="E34" s="4" t="s">
        <v>22</v>
      </c>
      <c r="F34" s="4" t="s">
        <v>23</v>
      </c>
      <c r="G34" s="4" t="s">
        <v>24</v>
      </c>
      <c r="H34" s="4" t="s">
        <v>25</v>
      </c>
      <c r="I34" s="4" t="s">
        <v>121</v>
      </c>
      <c r="J34" s="4" t="s">
        <v>122</v>
      </c>
      <c r="K34" s="5">
        <v>45282</v>
      </c>
      <c r="L34" s="5">
        <v>45313</v>
      </c>
      <c r="M34" s="5">
        <v>45322</v>
      </c>
      <c r="N34" s="6">
        <f t="shared" si="0"/>
        <v>9</v>
      </c>
      <c r="O34" s="4" t="s">
        <v>28</v>
      </c>
      <c r="P34" s="4">
        <v>4810.78</v>
      </c>
      <c r="Q34" s="4"/>
      <c r="R34" s="4" t="str">
        <f t="shared" si="1"/>
        <v>2024</v>
      </c>
      <c r="S34" s="4" t="str">
        <f t="shared" si="2"/>
        <v>January</v>
      </c>
      <c r="T34" s="4">
        <f t="shared" si="3"/>
        <v>4810.78</v>
      </c>
      <c r="U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row>
    <row r="35" spans="1:53" ht="19.95" customHeight="1">
      <c r="A35" s="4">
        <v>34</v>
      </c>
      <c r="B35" s="4" t="s">
        <v>123</v>
      </c>
      <c r="C35" s="4" t="s">
        <v>20</v>
      </c>
      <c r="D35" s="4" t="s">
        <v>21</v>
      </c>
      <c r="E35" s="4" t="s">
        <v>31</v>
      </c>
      <c r="F35" s="4" t="s">
        <v>124</v>
      </c>
      <c r="G35" s="4" t="s">
        <v>24</v>
      </c>
      <c r="H35" s="4" t="s">
        <v>125</v>
      </c>
      <c r="I35" s="4" t="s">
        <v>126</v>
      </c>
      <c r="J35" s="4"/>
      <c r="K35" s="5">
        <v>45281</v>
      </c>
      <c r="L35" s="5">
        <v>45297</v>
      </c>
      <c r="M35" s="5">
        <v>45299</v>
      </c>
      <c r="N35" s="6">
        <f t="shared" si="0"/>
        <v>2</v>
      </c>
      <c r="O35" s="4" t="s">
        <v>28</v>
      </c>
      <c r="P35" s="4">
        <v>170</v>
      </c>
      <c r="Q35" s="4"/>
      <c r="R35" s="4" t="str">
        <f t="shared" si="1"/>
        <v>2024</v>
      </c>
      <c r="S35" s="4" t="str">
        <f t="shared" si="2"/>
        <v>January</v>
      </c>
      <c r="T35" s="4">
        <f t="shared" si="3"/>
        <v>170</v>
      </c>
      <c r="U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row>
    <row r="36" spans="1:53" ht="19.95" customHeight="1">
      <c r="A36" s="4">
        <v>35</v>
      </c>
      <c r="B36" s="4" t="s">
        <v>127</v>
      </c>
      <c r="C36" s="4" t="s">
        <v>20</v>
      </c>
      <c r="D36" s="4" t="s">
        <v>21</v>
      </c>
      <c r="E36" s="4" t="s">
        <v>22</v>
      </c>
      <c r="F36" s="4" t="s">
        <v>128</v>
      </c>
      <c r="G36" s="4" t="s">
        <v>24</v>
      </c>
      <c r="H36" s="4" t="s">
        <v>129</v>
      </c>
      <c r="I36" s="4" t="s">
        <v>130</v>
      </c>
      <c r="J36" s="4" t="s">
        <v>131</v>
      </c>
      <c r="K36" s="5">
        <v>45279</v>
      </c>
      <c r="L36" s="5">
        <v>45282</v>
      </c>
      <c r="M36" s="5">
        <v>45320</v>
      </c>
      <c r="N36" s="6">
        <f t="shared" si="0"/>
        <v>38</v>
      </c>
      <c r="O36" s="4" t="s">
        <v>28</v>
      </c>
      <c r="P36" s="4">
        <v>4599.55</v>
      </c>
      <c r="Q36" s="4"/>
      <c r="R36" s="4" t="str">
        <f t="shared" si="1"/>
        <v>2023</v>
      </c>
      <c r="S36" s="4" t="str">
        <f t="shared" si="2"/>
        <v>December</v>
      </c>
      <c r="T36" s="4">
        <f t="shared" si="3"/>
        <v>4599.55</v>
      </c>
      <c r="U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row>
    <row r="37" spans="1:53" ht="19.95" customHeight="1">
      <c r="A37" s="4">
        <v>36</v>
      </c>
      <c r="B37" s="4" t="s">
        <v>132</v>
      </c>
      <c r="C37" s="4" t="s">
        <v>20</v>
      </c>
      <c r="D37" s="4" t="s">
        <v>21</v>
      </c>
      <c r="E37" s="4" t="s">
        <v>22</v>
      </c>
      <c r="F37" s="4" t="s">
        <v>23</v>
      </c>
      <c r="G37" s="4" t="s">
        <v>24</v>
      </c>
      <c r="H37" s="4" t="s">
        <v>25</v>
      </c>
      <c r="I37" s="4" t="s">
        <v>133</v>
      </c>
      <c r="J37" s="4" t="s">
        <v>134</v>
      </c>
      <c r="K37" s="5">
        <v>45279</v>
      </c>
      <c r="L37" s="5">
        <v>45310</v>
      </c>
      <c r="M37" s="5">
        <v>45331</v>
      </c>
      <c r="N37" s="6">
        <f t="shared" si="0"/>
        <v>21</v>
      </c>
      <c r="O37" s="4" t="s">
        <v>28</v>
      </c>
      <c r="P37" s="4">
        <v>7465.08</v>
      </c>
      <c r="Q37" s="4"/>
      <c r="R37" s="4" t="str">
        <f t="shared" si="1"/>
        <v>2024</v>
      </c>
      <c r="S37" s="4" t="str">
        <f t="shared" si="2"/>
        <v>January</v>
      </c>
      <c r="T37" s="4">
        <f t="shared" si="3"/>
        <v>7465.08</v>
      </c>
      <c r="U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row>
    <row r="38" spans="1:53" ht="19.95" customHeight="1">
      <c r="A38" s="4">
        <v>37</v>
      </c>
      <c r="B38" s="4" t="s">
        <v>135</v>
      </c>
      <c r="C38" s="4" t="s">
        <v>65</v>
      </c>
      <c r="D38" s="4" t="s">
        <v>21</v>
      </c>
      <c r="E38" s="4" t="s">
        <v>22</v>
      </c>
      <c r="F38" s="4" t="s">
        <v>23</v>
      </c>
      <c r="G38" s="4" t="s">
        <v>24</v>
      </c>
      <c r="H38" s="4" t="s">
        <v>25</v>
      </c>
      <c r="I38" s="4" t="s">
        <v>136</v>
      </c>
      <c r="J38" s="4" t="s">
        <v>137</v>
      </c>
      <c r="K38" s="5">
        <v>45278</v>
      </c>
      <c r="L38" s="5">
        <v>45292</v>
      </c>
      <c r="M38" s="5">
        <v>45303</v>
      </c>
      <c r="N38" s="6">
        <f t="shared" si="0"/>
        <v>11</v>
      </c>
      <c r="O38" s="4" t="s">
        <v>28</v>
      </c>
      <c r="P38" s="4">
        <v>9917.07</v>
      </c>
      <c r="Q38" s="4"/>
      <c r="R38" s="4" t="str">
        <f t="shared" si="1"/>
        <v>2024</v>
      </c>
      <c r="S38" s="4" t="str">
        <f t="shared" si="2"/>
        <v>January</v>
      </c>
      <c r="T38" s="4">
        <f t="shared" si="3"/>
        <v>9917.07</v>
      </c>
      <c r="U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row>
    <row r="39" spans="1:53" ht="19.95" customHeight="1">
      <c r="A39" s="4">
        <v>38</v>
      </c>
      <c r="B39" s="4" t="s">
        <v>138</v>
      </c>
      <c r="C39" s="4" t="s">
        <v>20</v>
      </c>
      <c r="D39" s="4" t="s">
        <v>21</v>
      </c>
      <c r="E39" s="4" t="s">
        <v>31</v>
      </c>
      <c r="F39" s="4" t="s">
        <v>23</v>
      </c>
      <c r="G39" s="4" t="s">
        <v>24</v>
      </c>
      <c r="H39" s="4" t="s">
        <v>25</v>
      </c>
      <c r="I39" s="4" t="s">
        <v>139</v>
      </c>
      <c r="J39" s="4" t="s">
        <v>140</v>
      </c>
      <c r="K39" s="5">
        <v>45278</v>
      </c>
      <c r="L39" s="5">
        <v>45279</v>
      </c>
      <c r="M39" s="5">
        <v>45281</v>
      </c>
      <c r="N39" s="6">
        <f t="shared" si="0"/>
        <v>2</v>
      </c>
      <c r="O39" s="4" t="s">
        <v>28</v>
      </c>
      <c r="P39" s="4">
        <v>473.52</v>
      </c>
      <c r="Q39" s="4"/>
      <c r="R39" s="4" t="str">
        <f t="shared" si="1"/>
        <v>2023</v>
      </c>
      <c r="S39" s="4" t="str">
        <f t="shared" si="2"/>
        <v>December</v>
      </c>
      <c r="T39" s="4">
        <f t="shared" si="3"/>
        <v>473.52</v>
      </c>
      <c r="U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row>
    <row r="40" spans="1:53" ht="19.95" customHeight="1">
      <c r="A40" s="4">
        <v>39</v>
      </c>
      <c r="B40" s="4" t="s">
        <v>141</v>
      </c>
      <c r="C40" s="4" t="s">
        <v>20</v>
      </c>
      <c r="D40" s="4" t="s">
        <v>38</v>
      </c>
      <c r="E40" s="4" t="s">
        <v>22</v>
      </c>
      <c r="F40" s="4" t="s">
        <v>23</v>
      </c>
      <c r="G40" s="4" t="s">
        <v>24</v>
      </c>
      <c r="H40" s="4" t="s">
        <v>25</v>
      </c>
      <c r="I40" s="4" t="s">
        <v>142</v>
      </c>
      <c r="J40" s="4" t="s">
        <v>143</v>
      </c>
      <c r="K40" s="5">
        <v>45276</v>
      </c>
      <c r="L40" s="5">
        <v>45327</v>
      </c>
      <c r="M40" s="5">
        <v>45342</v>
      </c>
      <c r="N40" s="6">
        <f t="shared" si="0"/>
        <v>15</v>
      </c>
      <c r="O40" s="4" t="s">
        <v>28</v>
      </c>
      <c r="P40" s="4">
        <v>8452.4599999999991</v>
      </c>
      <c r="Q40" s="4"/>
      <c r="R40" s="4" t="str">
        <f t="shared" si="1"/>
        <v>2024</v>
      </c>
      <c r="S40" s="4" t="str">
        <f t="shared" si="2"/>
        <v>February</v>
      </c>
      <c r="T40" s="4">
        <f t="shared" si="3"/>
        <v>8452.4599999999991</v>
      </c>
      <c r="U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row>
    <row r="41" spans="1:53" ht="19.95" customHeight="1">
      <c r="A41" s="4">
        <v>40</v>
      </c>
      <c r="B41" s="4" t="s">
        <v>144</v>
      </c>
      <c r="C41" s="4" t="s">
        <v>20</v>
      </c>
      <c r="D41" s="4" t="s">
        <v>56</v>
      </c>
      <c r="E41" s="4" t="s">
        <v>22</v>
      </c>
      <c r="F41" s="4" t="s">
        <v>23</v>
      </c>
      <c r="G41" s="4" t="s">
        <v>24</v>
      </c>
      <c r="H41" s="4" t="s">
        <v>25</v>
      </c>
      <c r="I41" s="4" t="s">
        <v>145</v>
      </c>
      <c r="J41" s="4" t="s">
        <v>146</v>
      </c>
      <c r="K41" s="5">
        <v>45276</v>
      </c>
      <c r="L41" s="5">
        <v>45333</v>
      </c>
      <c r="M41" s="5">
        <v>45341</v>
      </c>
      <c r="N41" s="6">
        <f t="shared" si="0"/>
        <v>8</v>
      </c>
      <c r="O41" s="4" t="s">
        <v>28</v>
      </c>
      <c r="P41" s="4">
        <v>4656.42</v>
      </c>
      <c r="Q41" s="4"/>
      <c r="R41" s="4" t="str">
        <f t="shared" si="1"/>
        <v>2024</v>
      </c>
      <c r="S41" s="4" t="str">
        <f t="shared" si="2"/>
        <v>February</v>
      </c>
      <c r="T41" s="4">
        <f t="shared" si="3"/>
        <v>4656.42</v>
      </c>
      <c r="U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c r="AW41" s="4"/>
      <c r="AX41" s="4"/>
      <c r="AY41" s="4"/>
      <c r="AZ41" s="4"/>
      <c r="BA41" s="4"/>
    </row>
    <row r="42" spans="1:53" ht="19.95" customHeight="1">
      <c r="A42" s="4">
        <v>41</v>
      </c>
      <c r="B42" s="4" t="s">
        <v>147</v>
      </c>
      <c r="C42" s="4" t="s">
        <v>20</v>
      </c>
      <c r="D42" s="4" t="s">
        <v>56</v>
      </c>
      <c r="E42" s="4" t="s">
        <v>39</v>
      </c>
      <c r="F42" s="4" t="s">
        <v>23</v>
      </c>
      <c r="G42" s="4" t="s">
        <v>24</v>
      </c>
      <c r="H42" s="4" t="s">
        <v>25</v>
      </c>
      <c r="I42" s="4" t="s">
        <v>148</v>
      </c>
      <c r="J42" s="4" t="s">
        <v>149</v>
      </c>
      <c r="K42" s="5">
        <v>45275</v>
      </c>
      <c r="L42" s="5">
        <v>45279</v>
      </c>
      <c r="M42" s="5">
        <v>45284</v>
      </c>
      <c r="N42" s="6">
        <f t="shared" si="0"/>
        <v>5</v>
      </c>
      <c r="O42" s="4" t="s">
        <v>28</v>
      </c>
      <c r="P42" s="4">
        <v>552</v>
      </c>
      <c r="Q42" s="4"/>
      <c r="R42" s="4" t="str">
        <f t="shared" si="1"/>
        <v>2023</v>
      </c>
      <c r="S42" s="4" t="str">
        <f t="shared" si="2"/>
        <v>December</v>
      </c>
      <c r="T42" s="4">
        <f t="shared" si="3"/>
        <v>552</v>
      </c>
      <c r="U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c r="AW42" s="4"/>
      <c r="AX42" s="4"/>
      <c r="AY42" s="4"/>
      <c r="AZ42" s="4"/>
      <c r="BA42" s="4"/>
    </row>
    <row r="43" spans="1:53" ht="19.95" customHeight="1">
      <c r="A43" s="4">
        <v>42</v>
      </c>
      <c r="B43" s="4" t="s">
        <v>150</v>
      </c>
      <c r="C43" s="4" t="s">
        <v>20</v>
      </c>
      <c r="D43" s="4" t="s">
        <v>38</v>
      </c>
      <c r="E43" s="4" t="s">
        <v>39</v>
      </c>
      <c r="F43" s="4" t="s">
        <v>23</v>
      </c>
      <c r="G43" s="4" t="s">
        <v>24</v>
      </c>
      <c r="H43" s="4" t="s">
        <v>25</v>
      </c>
      <c r="I43" s="4" t="s">
        <v>151</v>
      </c>
      <c r="J43" s="4" t="s">
        <v>152</v>
      </c>
      <c r="K43" s="5">
        <v>45274</v>
      </c>
      <c r="L43" s="5">
        <v>45317</v>
      </c>
      <c r="M43" s="5">
        <v>45328</v>
      </c>
      <c r="N43" s="6">
        <f t="shared" si="0"/>
        <v>11</v>
      </c>
      <c r="O43" s="4" t="s">
        <v>28</v>
      </c>
      <c r="P43" s="4">
        <v>1668.81</v>
      </c>
      <c r="Q43" s="4"/>
      <c r="R43" s="4" t="str">
        <f t="shared" si="1"/>
        <v>2024</v>
      </c>
      <c r="S43" s="4" t="str">
        <f t="shared" si="2"/>
        <v>January</v>
      </c>
      <c r="T43" s="4">
        <f t="shared" si="3"/>
        <v>1668.81</v>
      </c>
      <c r="U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c r="AW43" s="4"/>
      <c r="AX43" s="4"/>
      <c r="AY43" s="4"/>
      <c r="AZ43" s="4"/>
      <c r="BA43" s="4"/>
    </row>
    <row r="44" spans="1:53" ht="19.95" customHeight="1">
      <c r="A44" s="4">
        <v>43</v>
      </c>
      <c r="B44" s="4" t="s">
        <v>153</v>
      </c>
      <c r="C44" s="4" t="s">
        <v>20</v>
      </c>
      <c r="D44" s="4" t="s">
        <v>21</v>
      </c>
      <c r="E44" s="4" t="s">
        <v>154</v>
      </c>
      <c r="F44" s="4" t="s">
        <v>23</v>
      </c>
      <c r="G44" s="4" t="s">
        <v>24</v>
      </c>
      <c r="H44" s="4" t="s">
        <v>25</v>
      </c>
      <c r="I44" s="4" t="s">
        <v>155</v>
      </c>
      <c r="J44" s="4" t="s">
        <v>156</v>
      </c>
      <c r="K44" s="5">
        <v>45273</v>
      </c>
      <c r="L44" s="5">
        <v>45294</v>
      </c>
      <c r="M44" s="5">
        <v>45304</v>
      </c>
      <c r="N44" s="6">
        <f t="shared" si="0"/>
        <v>10</v>
      </c>
      <c r="O44" s="4" t="s">
        <v>28</v>
      </c>
      <c r="P44" s="4">
        <v>3273.2</v>
      </c>
      <c r="Q44" s="4"/>
      <c r="R44" s="4" t="str">
        <f t="shared" si="1"/>
        <v>2024</v>
      </c>
      <c r="S44" s="4" t="str">
        <f t="shared" si="2"/>
        <v>January</v>
      </c>
      <c r="T44" s="4">
        <f t="shared" si="3"/>
        <v>3273.2</v>
      </c>
      <c r="U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c r="AW44" s="4"/>
      <c r="AX44" s="4"/>
      <c r="AY44" s="4"/>
      <c r="AZ44" s="4"/>
      <c r="BA44" s="4"/>
    </row>
    <row r="45" spans="1:53" ht="19.95" customHeight="1">
      <c r="A45" s="4">
        <v>44</v>
      </c>
      <c r="B45" s="4" t="s">
        <v>157</v>
      </c>
      <c r="C45" s="4" t="s">
        <v>20</v>
      </c>
      <c r="D45" s="4" t="s">
        <v>21</v>
      </c>
      <c r="E45" s="4" t="s">
        <v>39</v>
      </c>
      <c r="F45" s="4" t="s">
        <v>43</v>
      </c>
      <c r="G45" s="4" t="s">
        <v>24</v>
      </c>
      <c r="H45" s="4" t="s">
        <v>44</v>
      </c>
      <c r="I45" s="4" t="s">
        <v>158</v>
      </c>
      <c r="J45" s="4" t="s">
        <v>159</v>
      </c>
      <c r="K45" s="5">
        <v>45273</v>
      </c>
      <c r="L45" s="5">
        <v>45281</v>
      </c>
      <c r="M45" s="5">
        <v>45290</v>
      </c>
      <c r="N45" s="6">
        <f t="shared" si="0"/>
        <v>9</v>
      </c>
      <c r="O45" s="4" t="s">
        <v>28</v>
      </c>
      <c r="P45" s="4">
        <v>2675.42</v>
      </c>
      <c r="Q45" s="4"/>
      <c r="R45" s="4" t="str">
        <f t="shared" si="1"/>
        <v>2023</v>
      </c>
      <c r="S45" s="4" t="str">
        <f t="shared" si="2"/>
        <v>December</v>
      </c>
      <c r="T45" s="4">
        <f t="shared" si="3"/>
        <v>2675.42</v>
      </c>
      <c r="U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c r="AW45" s="4"/>
      <c r="AX45" s="4"/>
      <c r="AY45" s="4"/>
      <c r="AZ45" s="4"/>
      <c r="BA45" s="4"/>
    </row>
    <row r="46" spans="1:53" ht="19.95" customHeight="1">
      <c r="A46" s="4">
        <v>45</v>
      </c>
      <c r="B46" s="4" t="s">
        <v>160</v>
      </c>
      <c r="C46" s="4" t="s">
        <v>20</v>
      </c>
      <c r="D46" s="4" t="s">
        <v>21</v>
      </c>
      <c r="E46" s="4" t="s">
        <v>161</v>
      </c>
      <c r="F46" s="4" t="s">
        <v>23</v>
      </c>
      <c r="G46" s="4" t="s">
        <v>24</v>
      </c>
      <c r="H46" s="4" t="s">
        <v>25</v>
      </c>
      <c r="I46" s="4" t="s">
        <v>162</v>
      </c>
      <c r="J46" s="4" t="s">
        <v>163</v>
      </c>
      <c r="K46" s="5">
        <v>45273</v>
      </c>
      <c r="L46" s="5">
        <v>45309</v>
      </c>
      <c r="M46" s="5">
        <v>45329</v>
      </c>
      <c r="N46" s="6">
        <f t="shared" si="0"/>
        <v>20</v>
      </c>
      <c r="O46" s="4" t="s">
        <v>28</v>
      </c>
      <c r="P46" s="4">
        <v>6173.1</v>
      </c>
      <c r="Q46" s="4"/>
      <c r="R46" s="4" t="str">
        <f t="shared" si="1"/>
        <v>2024</v>
      </c>
      <c r="S46" s="4" t="str">
        <f t="shared" si="2"/>
        <v>January</v>
      </c>
      <c r="T46" s="4">
        <f t="shared" si="3"/>
        <v>6173.1</v>
      </c>
      <c r="U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row>
    <row r="47" spans="1:53" ht="19.95" customHeight="1">
      <c r="A47" s="4">
        <v>46</v>
      </c>
      <c r="B47" s="4" t="s">
        <v>164</v>
      </c>
      <c r="C47" s="4" t="s">
        <v>20</v>
      </c>
      <c r="D47" s="4" t="s">
        <v>56</v>
      </c>
      <c r="E47" s="4" t="s">
        <v>39</v>
      </c>
      <c r="F47" s="4" t="s">
        <v>23</v>
      </c>
      <c r="G47" s="4" t="s">
        <v>24</v>
      </c>
      <c r="H47" s="4" t="s">
        <v>25</v>
      </c>
      <c r="I47" s="4" t="s">
        <v>165</v>
      </c>
      <c r="J47" s="4" t="s">
        <v>166</v>
      </c>
      <c r="K47" s="5">
        <v>45269</v>
      </c>
      <c r="L47" s="5">
        <v>45271</v>
      </c>
      <c r="M47" s="5">
        <v>45283</v>
      </c>
      <c r="N47" s="6">
        <f t="shared" si="0"/>
        <v>12</v>
      </c>
      <c r="O47" s="4" t="s">
        <v>28</v>
      </c>
      <c r="P47" s="4">
        <v>673.54</v>
      </c>
      <c r="Q47" s="4"/>
      <c r="R47" s="4" t="str">
        <f t="shared" si="1"/>
        <v>2023</v>
      </c>
      <c r="S47" s="4" t="str">
        <f t="shared" si="2"/>
        <v>December</v>
      </c>
      <c r="T47" s="4">
        <f t="shared" si="3"/>
        <v>673.54</v>
      </c>
      <c r="U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row>
    <row r="48" spans="1:53" ht="19.95" customHeight="1">
      <c r="A48" s="4">
        <v>47</v>
      </c>
      <c r="B48" s="4" t="s">
        <v>167</v>
      </c>
      <c r="C48" s="4" t="s">
        <v>20</v>
      </c>
      <c r="D48" s="4" t="s">
        <v>56</v>
      </c>
      <c r="E48" s="4" t="s">
        <v>39</v>
      </c>
      <c r="F48" s="4" t="s">
        <v>23</v>
      </c>
      <c r="G48" s="4" t="s">
        <v>24</v>
      </c>
      <c r="H48" s="4" t="s">
        <v>25</v>
      </c>
      <c r="I48" s="4" t="s">
        <v>168</v>
      </c>
      <c r="J48" s="4" t="s">
        <v>169</v>
      </c>
      <c r="K48" s="5">
        <v>45268</v>
      </c>
      <c r="L48" s="5">
        <v>45271</v>
      </c>
      <c r="M48" s="5">
        <v>45282</v>
      </c>
      <c r="N48" s="6">
        <f t="shared" si="0"/>
        <v>11</v>
      </c>
      <c r="O48" s="4" t="s">
        <v>28</v>
      </c>
      <c r="P48" s="4">
        <v>3958.66</v>
      </c>
      <c r="Q48" s="4"/>
      <c r="R48" s="4" t="str">
        <f t="shared" si="1"/>
        <v>2023</v>
      </c>
      <c r="S48" s="4" t="str">
        <f t="shared" si="2"/>
        <v>December</v>
      </c>
      <c r="T48" s="4">
        <f t="shared" si="3"/>
        <v>3958.66</v>
      </c>
      <c r="U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row>
    <row r="49" spans="1:53" ht="19.95" customHeight="1">
      <c r="A49" s="4">
        <v>48</v>
      </c>
      <c r="B49" s="4" t="s">
        <v>170</v>
      </c>
      <c r="C49" s="4" t="s">
        <v>20</v>
      </c>
      <c r="D49" s="4" t="s">
        <v>21</v>
      </c>
      <c r="E49" s="4" t="s">
        <v>39</v>
      </c>
      <c r="F49" s="4" t="s">
        <v>23</v>
      </c>
      <c r="G49" s="4" t="s">
        <v>24</v>
      </c>
      <c r="H49" s="4" t="s">
        <v>25</v>
      </c>
      <c r="I49" s="4" t="s">
        <v>171</v>
      </c>
      <c r="J49" s="4" t="s">
        <v>172</v>
      </c>
      <c r="K49" s="5">
        <v>45266</v>
      </c>
      <c r="L49" s="5">
        <v>45313</v>
      </c>
      <c r="M49" s="5">
        <v>45324</v>
      </c>
      <c r="N49" s="6">
        <f t="shared" si="0"/>
        <v>11</v>
      </c>
      <c r="O49" s="4" t="s">
        <v>28</v>
      </c>
      <c r="P49" s="4">
        <v>5302.92</v>
      </c>
      <c r="Q49" s="4"/>
      <c r="R49" s="4" t="str">
        <f t="shared" si="1"/>
        <v>2024</v>
      </c>
      <c r="S49" s="4" t="str">
        <f t="shared" si="2"/>
        <v>January</v>
      </c>
      <c r="T49" s="4">
        <f t="shared" si="3"/>
        <v>5302.92</v>
      </c>
      <c r="U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row>
    <row r="50" spans="1:53" ht="19.95" customHeight="1">
      <c r="A50" s="4">
        <v>49</v>
      </c>
      <c r="B50" s="4" t="s">
        <v>173</v>
      </c>
      <c r="C50" s="4" t="s">
        <v>20</v>
      </c>
      <c r="D50" s="4" t="s">
        <v>21</v>
      </c>
      <c r="E50" s="4" t="s">
        <v>22</v>
      </c>
      <c r="F50" s="4" t="s">
        <v>23</v>
      </c>
      <c r="G50" s="4" t="s">
        <v>24</v>
      </c>
      <c r="H50" s="4" t="s">
        <v>25</v>
      </c>
      <c r="I50" s="4" t="s">
        <v>174</v>
      </c>
      <c r="J50" s="4" t="s">
        <v>175</v>
      </c>
      <c r="K50" s="5">
        <v>45265</v>
      </c>
      <c r="L50" s="5">
        <v>45345</v>
      </c>
      <c r="M50" s="5">
        <v>45359</v>
      </c>
      <c r="N50" s="6">
        <f t="shared" si="0"/>
        <v>14</v>
      </c>
      <c r="O50" s="4" t="s">
        <v>28</v>
      </c>
      <c r="P50" s="4">
        <v>5664.98</v>
      </c>
      <c r="Q50" s="4"/>
      <c r="R50" s="4" t="str">
        <f t="shared" si="1"/>
        <v>2024</v>
      </c>
      <c r="S50" s="4" t="str">
        <f t="shared" si="2"/>
        <v>February</v>
      </c>
      <c r="T50" s="4">
        <f t="shared" si="3"/>
        <v>5664.98</v>
      </c>
      <c r="U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row>
    <row r="51" spans="1:53" ht="19.95" customHeight="1">
      <c r="A51" s="4">
        <v>50</v>
      </c>
      <c r="B51" s="4" t="s">
        <v>176</v>
      </c>
      <c r="C51" s="4" t="s">
        <v>20</v>
      </c>
      <c r="D51" s="4" t="s">
        <v>21</v>
      </c>
      <c r="E51" s="4" t="s">
        <v>22</v>
      </c>
      <c r="F51" s="4" t="s">
        <v>43</v>
      </c>
      <c r="G51" s="4" t="s">
        <v>24</v>
      </c>
      <c r="H51" s="4" t="s">
        <v>44</v>
      </c>
      <c r="I51" s="4" t="s">
        <v>177</v>
      </c>
      <c r="J51" s="4" t="s">
        <v>178</v>
      </c>
      <c r="K51" s="5">
        <v>45265</v>
      </c>
      <c r="L51" s="5">
        <v>45269</v>
      </c>
      <c r="M51" s="5">
        <v>45275</v>
      </c>
      <c r="N51" s="6">
        <f t="shared" si="0"/>
        <v>6</v>
      </c>
      <c r="O51" s="4" t="s">
        <v>28</v>
      </c>
      <c r="P51" s="4">
        <v>1349.48</v>
      </c>
      <c r="Q51" s="4"/>
      <c r="R51" s="4" t="str">
        <f t="shared" si="1"/>
        <v>2023</v>
      </c>
      <c r="S51" s="4" t="str">
        <f t="shared" si="2"/>
        <v>December</v>
      </c>
      <c r="T51" s="4">
        <f t="shared" si="3"/>
        <v>1349.48</v>
      </c>
      <c r="U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row>
    <row r="52" spans="1:53" ht="19.95" customHeight="1">
      <c r="A52" s="4">
        <v>51</v>
      </c>
      <c r="B52" s="4" t="s">
        <v>179</v>
      </c>
      <c r="C52" s="4" t="s">
        <v>20</v>
      </c>
      <c r="D52" s="4" t="s">
        <v>21</v>
      </c>
      <c r="E52" s="4" t="s">
        <v>22</v>
      </c>
      <c r="F52" s="4" t="s">
        <v>23</v>
      </c>
      <c r="G52" s="4" t="s">
        <v>24</v>
      </c>
      <c r="H52" s="4" t="s">
        <v>25</v>
      </c>
      <c r="I52" s="4" t="s">
        <v>180</v>
      </c>
      <c r="J52" s="4" t="s">
        <v>181</v>
      </c>
      <c r="K52" s="5">
        <v>45265</v>
      </c>
      <c r="L52" s="5">
        <v>45367</v>
      </c>
      <c r="M52" s="5">
        <v>45381</v>
      </c>
      <c r="N52" s="6">
        <f t="shared" si="0"/>
        <v>14</v>
      </c>
      <c r="O52" s="4" t="s">
        <v>28</v>
      </c>
      <c r="P52" s="4">
        <v>15297.62</v>
      </c>
      <c r="Q52" s="4"/>
      <c r="R52" s="4" t="str">
        <f t="shared" si="1"/>
        <v>2024</v>
      </c>
      <c r="S52" s="4" t="str">
        <f t="shared" si="2"/>
        <v>March</v>
      </c>
      <c r="T52" s="4">
        <f t="shared" si="3"/>
        <v>15297.62</v>
      </c>
      <c r="U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row>
    <row r="53" spans="1:53" ht="19.95" customHeight="1">
      <c r="A53" s="4">
        <v>52</v>
      </c>
      <c r="B53" s="4" t="s">
        <v>182</v>
      </c>
      <c r="C53" s="4" t="s">
        <v>20</v>
      </c>
      <c r="D53" s="4" t="s">
        <v>56</v>
      </c>
      <c r="E53" s="4" t="s">
        <v>39</v>
      </c>
      <c r="F53" s="4" t="s">
        <v>23</v>
      </c>
      <c r="G53" s="4" t="s">
        <v>24</v>
      </c>
      <c r="H53" s="4" t="s">
        <v>25</v>
      </c>
      <c r="I53" s="4" t="s">
        <v>183</v>
      </c>
      <c r="J53" s="4" t="s">
        <v>184</v>
      </c>
      <c r="K53" s="5">
        <v>45261</v>
      </c>
      <c r="L53" s="5">
        <v>45331</v>
      </c>
      <c r="M53" s="5">
        <v>45337</v>
      </c>
      <c r="N53" s="6">
        <f t="shared" si="0"/>
        <v>6</v>
      </c>
      <c r="O53" s="4" t="s">
        <v>28</v>
      </c>
      <c r="P53" s="4">
        <v>1100.27</v>
      </c>
      <c r="Q53" s="4"/>
      <c r="R53" s="4" t="str">
        <f t="shared" si="1"/>
        <v>2024</v>
      </c>
      <c r="S53" s="4" t="str">
        <f t="shared" si="2"/>
        <v>February</v>
      </c>
      <c r="T53" s="4">
        <f t="shared" si="3"/>
        <v>1100.27</v>
      </c>
      <c r="U53" s="4"/>
      <c r="W53" s="4"/>
      <c r="X53" s="4"/>
      <c r="Y53" s="4"/>
      <c r="Z53" s="4"/>
      <c r="AA53" s="4"/>
      <c r="AB53" s="4"/>
      <c r="AC53" s="4"/>
      <c r="AD53" s="4"/>
      <c r="AE53" s="4"/>
      <c r="AF53" s="4"/>
      <c r="AG53" s="4"/>
      <c r="AH53" s="4"/>
      <c r="AI53" s="4"/>
      <c r="AJ53" s="4"/>
      <c r="AK53" s="4"/>
      <c r="AL53" s="4"/>
      <c r="AM53" s="4"/>
      <c r="AN53" s="4"/>
      <c r="AO53" s="4"/>
      <c r="AP53" s="4"/>
      <c r="AQ53" s="4"/>
      <c r="AR53" s="4"/>
      <c r="AS53" s="4"/>
      <c r="AT53" s="4"/>
      <c r="AU53" s="4"/>
      <c r="AV53" s="4"/>
      <c r="AW53" s="4"/>
      <c r="AX53" s="4"/>
      <c r="AY53" s="4"/>
      <c r="AZ53" s="4"/>
      <c r="BA53" s="4"/>
    </row>
    <row r="54" spans="1:53" ht="19.95" customHeight="1">
      <c r="A54" s="4">
        <v>53</v>
      </c>
      <c r="B54" s="4" t="s">
        <v>185</v>
      </c>
      <c r="C54" s="4" t="s">
        <v>65</v>
      </c>
      <c r="D54" s="4" t="s">
        <v>21</v>
      </c>
      <c r="E54" s="4" t="s">
        <v>76</v>
      </c>
      <c r="F54" s="4" t="s">
        <v>186</v>
      </c>
      <c r="G54" s="4" t="s">
        <v>24</v>
      </c>
      <c r="H54" s="4" t="s">
        <v>187</v>
      </c>
      <c r="I54" s="4" t="s">
        <v>188</v>
      </c>
      <c r="J54" s="4" t="s">
        <v>189</v>
      </c>
      <c r="K54" s="5">
        <v>45260</v>
      </c>
      <c r="L54" s="5">
        <v>45268</v>
      </c>
      <c r="M54" s="5">
        <v>45272</v>
      </c>
      <c r="N54" s="6">
        <f t="shared" si="0"/>
        <v>4</v>
      </c>
      <c r="O54" s="4" t="s">
        <v>28</v>
      </c>
      <c r="P54" s="4">
        <v>7159.23</v>
      </c>
      <c r="Q54" s="4"/>
      <c r="R54" s="4" t="str">
        <f t="shared" si="1"/>
        <v>2023</v>
      </c>
      <c r="S54" s="4" t="str">
        <f t="shared" si="2"/>
        <v>December</v>
      </c>
      <c r="T54" s="4">
        <f t="shared" si="3"/>
        <v>7159.23</v>
      </c>
      <c r="U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row>
    <row r="55" spans="1:53" ht="19.95" customHeight="1">
      <c r="A55" s="4">
        <v>54</v>
      </c>
      <c r="B55" s="4" t="s">
        <v>2488</v>
      </c>
      <c r="C55" s="4" t="s">
        <v>65</v>
      </c>
      <c r="D55" s="4" t="s">
        <v>21</v>
      </c>
      <c r="E55" s="4" t="s">
        <v>76</v>
      </c>
      <c r="F55" s="4" t="s">
        <v>23</v>
      </c>
      <c r="G55" s="4" t="s">
        <v>24</v>
      </c>
      <c r="H55" s="4" t="s">
        <v>25</v>
      </c>
      <c r="I55" s="4" t="s">
        <v>2489</v>
      </c>
      <c r="J55" s="4" t="s">
        <v>2490</v>
      </c>
      <c r="K55" s="5">
        <v>45259</v>
      </c>
      <c r="L55" s="5">
        <v>45380</v>
      </c>
      <c r="M55" s="5">
        <v>45395</v>
      </c>
      <c r="N55" s="6">
        <f t="shared" si="0"/>
        <v>15</v>
      </c>
      <c r="O55" s="4" t="s">
        <v>334</v>
      </c>
      <c r="P55" s="4">
        <v>22161.47</v>
      </c>
      <c r="Q55" s="4"/>
      <c r="R55" s="4" t="str">
        <f t="shared" si="1"/>
        <v>2024</v>
      </c>
      <c r="S55" s="4" t="str">
        <f t="shared" si="2"/>
        <v>March</v>
      </c>
      <c r="T55" s="4">
        <f t="shared" si="3"/>
        <v>22161.47</v>
      </c>
      <c r="U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c r="AX55" s="4"/>
      <c r="AY55" s="4"/>
      <c r="AZ55" s="4"/>
      <c r="BA55" s="4"/>
    </row>
    <row r="56" spans="1:53" ht="19.95" customHeight="1">
      <c r="A56" s="4">
        <v>55</v>
      </c>
      <c r="B56" s="4" t="s">
        <v>190</v>
      </c>
      <c r="C56" s="4" t="s">
        <v>20</v>
      </c>
      <c r="D56" s="4" t="s">
        <v>21</v>
      </c>
      <c r="E56" s="4" t="s">
        <v>22</v>
      </c>
      <c r="F56" s="4" t="s">
        <v>128</v>
      </c>
      <c r="G56" s="4" t="s">
        <v>24</v>
      </c>
      <c r="H56" s="4" t="s">
        <v>129</v>
      </c>
      <c r="I56" s="4" t="s">
        <v>191</v>
      </c>
      <c r="J56" s="4" t="s">
        <v>192</v>
      </c>
      <c r="K56" s="5">
        <v>45258</v>
      </c>
      <c r="L56" s="5">
        <v>45292</v>
      </c>
      <c r="M56" s="5">
        <v>45297</v>
      </c>
      <c r="N56" s="6">
        <f t="shared" si="0"/>
        <v>5</v>
      </c>
      <c r="O56" s="4" t="s">
        <v>28</v>
      </c>
      <c r="P56" s="4">
        <v>2417.14</v>
      </c>
      <c r="Q56" s="4"/>
      <c r="R56" s="4" t="str">
        <f t="shared" si="1"/>
        <v>2024</v>
      </c>
      <c r="S56" s="4" t="str">
        <f t="shared" si="2"/>
        <v>January</v>
      </c>
      <c r="T56" s="4">
        <f t="shared" si="3"/>
        <v>2417.14</v>
      </c>
      <c r="U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4"/>
      <c r="AY56" s="4"/>
      <c r="AZ56" s="4"/>
      <c r="BA56" s="4"/>
    </row>
    <row r="57" spans="1:53" ht="19.95" customHeight="1">
      <c r="A57" s="4">
        <v>56</v>
      </c>
      <c r="B57" s="4" t="s">
        <v>193</v>
      </c>
      <c r="C57" s="4" t="s">
        <v>20</v>
      </c>
      <c r="D57" s="4" t="s">
        <v>56</v>
      </c>
      <c r="E57" s="4" t="s">
        <v>22</v>
      </c>
      <c r="F57" s="4" t="s">
        <v>23</v>
      </c>
      <c r="G57" s="4" t="s">
        <v>24</v>
      </c>
      <c r="H57" s="4" t="s">
        <v>25</v>
      </c>
      <c r="I57" s="4" t="s">
        <v>194</v>
      </c>
      <c r="J57" s="4" t="s">
        <v>195</v>
      </c>
      <c r="K57" s="5">
        <v>45258</v>
      </c>
      <c r="L57" s="5">
        <v>45290</v>
      </c>
      <c r="M57" s="5">
        <v>45297</v>
      </c>
      <c r="N57" s="6">
        <f t="shared" si="0"/>
        <v>7</v>
      </c>
      <c r="O57" s="4" t="s">
        <v>28</v>
      </c>
      <c r="P57" s="4">
        <v>3024.77</v>
      </c>
      <c r="Q57" s="4"/>
      <c r="R57" s="4" t="str">
        <f t="shared" si="1"/>
        <v>2023</v>
      </c>
      <c r="S57" s="4" t="str">
        <f t="shared" si="2"/>
        <v>December</v>
      </c>
      <c r="T57" s="4">
        <f t="shared" si="3"/>
        <v>3024.77</v>
      </c>
      <c r="U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c r="AY57" s="4"/>
      <c r="AZ57" s="4"/>
      <c r="BA57" s="4"/>
    </row>
    <row r="58" spans="1:53" ht="19.95" customHeight="1">
      <c r="A58" s="4">
        <v>57</v>
      </c>
      <c r="B58" s="4" t="s">
        <v>196</v>
      </c>
      <c r="C58" s="4" t="s">
        <v>20</v>
      </c>
      <c r="D58" s="4" t="s">
        <v>38</v>
      </c>
      <c r="E58" s="4" t="s">
        <v>39</v>
      </c>
      <c r="F58" s="4" t="s">
        <v>23</v>
      </c>
      <c r="G58" s="4" t="s">
        <v>24</v>
      </c>
      <c r="H58" s="4" t="s">
        <v>25</v>
      </c>
      <c r="I58" s="4" t="s">
        <v>197</v>
      </c>
      <c r="J58" s="4" t="s">
        <v>198</v>
      </c>
      <c r="K58" s="5">
        <v>45258</v>
      </c>
      <c r="L58" s="5">
        <v>45269</v>
      </c>
      <c r="M58" s="5">
        <v>45272</v>
      </c>
      <c r="N58" s="6">
        <f t="shared" si="0"/>
        <v>3</v>
      </c>
      <c r="O58" s="4" t="s">
        <v>28</v>
      </c>
      <c r="P58" s="4">
        <v>722</v>
      </c>
      <c r="Q58" s="4"/>
      <c r="R58" s="4" t="str">
        <f t="shared" si="1"/>
        <v>2023</v>
      </c>
      <c r="S58" s="4" t="str">
        <f t="shared" si="2"/>
        <v>December</v>
      </c>
      <c r="T58" s="4">
        <f t="shared" si="3"/>
        <v>722</v>
      </c>
      <c r="U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c r="AX58" s="4"/>
      <c r="AY58" s="4"/>
      <c r="AZ58" s="4"/>
      <c r="BA58" s="4"/>
    </row>
    <row r="59" spans="1:53" ht="19.95" customHeight="1">
      <c r="A59" s="4">
        <v>58</v>
      </c>
      <c r="B59" s="4" t="s">
        <v>199</v>
      </c>
      <c r="C59" s="4" t="s">
        <v>20</v>
      </c>
      <c r="D59" s="4" t="s">
        <v>30</v>
      </c>
      <c r="E59" s="4" t="s">
        <v>39</v>
      </c>
      <c r="F59" s="4" t="s">
        <v>24</v>
      </c>
      <c r="G59" s="4" t="s">
        <v>24</v>
      </c>
      <c r="H59" s="4" t="s">
        <v>200</v>
      </c>
      <c r="I59" s="4" t="s">
        <v>201</v>
      </c>
      <c r="J59" s="4" t="s">
        <v>202</v>
      </c>
      <c r="K59" s="5">
        <v>45258</v>
      </c>
      <c r="L59" s="5">
        <v>45259</v>
      </c>
      <c r="M59" s="5">
        <v>45259</v>
      </c>
      <c r="N59" s="6">
        <f t="shared" si="0"/>
        <v>0</v>
      </c>
      <c r="O59" s="4" t="s">
        <v>28</v>
      </c>
      <c r="P59" s="4">
        <v>68</v>
      </c>
      <c r="Q59" s="4"/>
      <c r="R59" s="4" t="str">
        <f t="shared" si="1"/>
        <v>2023</v>
      </c>
      <c r="S59" s="4" t="str">
        <f t="shared" si="2"/>
        <v>November</v>
      </c>
      <c r="T59" s="4">
        <f t="shared" si="3"/>
        <v>68</v>
      </c>
      <c r="U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row>
    <row r="60" spans="1:53" ht="19.95" customHeight="1">
      <c r="A60" s="4">
        <v>59</v>
      </c>
      <c r="B60" s="4" t="s">
        <v>203</v>
      </c>
      <c r="C60" s="4" t="s">
        <v>20</v>
      </c>
      <c r="D60" s="4" t="s">
        <v>21</v>
      </c>
      <c r="E60" s="4" t="s">
        <v>22</v>
      </c>
      <c r="F60" s="4" t="s">
        <v>23</v>
      </c>
      <c r="G60" s="4" t="s">
        <v>24</v>
      </c>
      <c r="H60" s="4" t="s">
        <v>25</v>
      </c>
      <c r="I60" s="4" t="s">
        <v>204</v>
      </c>
      <c r="J60" s="4" t="s">
        <v>205</v>
      </c>
      <c r="K60" s="5">
        <v>45258</v>
      </c>
      <c r="L60" s="5">
        <v>45322</v>
      </c>
      <c r="M60" s="5">
        <v>45344</v>
      </c>
      <c r="N60" s="6">
        <f t="shared" si="0"/>
        <v>22</v>
      </c>
      <c r="O60" s="4" t="s">
        <v>28</v>
      </c>
      <c r="P60" s="4">
        <v>8416.67</v>
      </c>
      <c r="Q60" s="4"/>
      <c r="R60" s="4" t="str">
        <f t="shared" si="1"/>
        <v>2024</v>
      </c>
      <c r="S60" s="4" t="str">
        <f t="shared" si="2"/>
        <v>January</v>
      </c>
      <c r="T60" s="4">
        <f t="shared" si="3"/>
        <v>8416.67</v>
      </c>
      <c r="U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c r="AX60" s="4"/>
      <c r="AY60" s="4"/>
      <c r="AZ60" s="4"/>
      <c r="BA60" s="4"/>
    </row>
    <row r="61" spans="1:53" ht="19.95" customHeight="1">
      <c r="A61" s="4">
        <v>60</v>
      </c>
      <c r="B61" s="4" t="s">
        <v>206</v>
      </c>
      <c r="C61" s="4" t="s">
        <v>20</v>
      </c>
      <c r="D61" s="4" t="s">
        <v>56</v>
      </c>
      <c r="E61" s="4" t="s">
        <v>22</v>
      </c>
      <c r="F61" s="4" t="s">
        <v>96</v>
      </c>
      <c r="G61" s="4" t="s">
        <v>24</v>
      </c>
      <c r="H61" s="4" t="s">
        <v>49</v>
      </c>
      <c r="I61" s="4" t="s">
        <v>207</v>
      </c>
      <c r="J61" s="4" t="s">
        <v>208</v>
      </c>
      <c r="K61" s="5">
        <v>45258</v>
      </c>
      <c r="L61" s="5">
        <v>45352</v>
      </c>
      <c r="M61" s="5">
        <v>45360</v>
      </c>
      <c r="N61" s="6">
        <f t="shared" si="0"/>
        <v>8</v>
      </c>
      <c r="O61" s="4" t="s">
        <v>28</v>
      </c>
      <c r="P61" s="4">
        <v>2500.4899999999998</v>
      </c>
      <c r="Q61" s="4"/>
      <c r="R61" s="4" t="str">
        <f t="shared" si="1"/>
        <v>2024</v>
      </c>
      <c r="S61" s="4" t="str">
        <f t="shared" si="2"/>
        <v>March</v>
      </c>
      <c r="T61" s="4">
        <f t="shared" si="3"/>
        <v>2500.4899999999998</v>
      </c>
      <c r="U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c r="AX61" s="4"/>
      <c r="AY61" s="4"/>
      <c r="AZ61" s="4"/>
      <c r="BA61" s="4"/>
    </row>
    <row r="62" spans="1:53" ht="19.95" customHeight="1">
      <c r="A62" s="4">
        <v>61</v>
      </c>
      <c r="B62" s="4" t="s">
        <v>209</v>
      </c>
      <c r="C62" s="4" t="s">
        <v>65</v>
      </c>
      <c r="D62" s="4" t="s">
        <v>21</v>
      </c>
      <c r="E62" s="4" t="s">
        <v>76</v>
      </c>
      <c r="F62" s="4" t="s">
        <v>210</v>
      </c>
      <c r="G62" s="4" t="s">
        <v>24</v>
      </c>
      <c r="H62" s="4" t="s">
        <v>211</v>
      </c>
      <c r="I62" s="4" t="s">
        <v>212</v>
      </c>
      <c r="J62" s="4" t="s">
        <v>213</v>
      </c>
      <c r="K62" s="5">
        <v>45254</v>
      </c>
      <c r="L62" s="5">
        <v>45297</v>
      </c>
      <c r="M62" s="5">
        <v>45309</v>
      </c>
      <c r="N62" s="6">
        <f t="shared" si="0"/>
        <v>12</v>
      </c>
      <c r="O62" s="4" t="s">
        <v>28</v>
      </c>
      <c r="P62" s="4">
        <v>4153.8100000000004</v>
      </c>
      <c r="Q62" s="4"/>
      <c r="R62" s="4" t="str">
        <f t="shared" si="1"/>
        <v>2024</v>
      </c>
      <c r="S62" s="4" t="str">
        <f t="shared" si="2"/>
        <v>January</v>
      </c>
      <c r="T62" s="4">
        <f t="shared" si="3"/>
        <v>4153.8100000000004</v>
      </c>
      <c r="U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c r="AX62" s="4"/>
      <c r="AY62" s="4"/>
      <c r="AZ62" s="4"/>
      <c r="BA62" s="4"/>
    </row>
    <row r="63" spans="1:53" ht="19.95" customHeight="1">
      <c r="A63" s="4">
        <v>62</v>
      </c>
      <c r="B63" s="4" t="s">
        <v>214</v>
      </c>
      <c r="C63" s="4" t="s">
        <v>20</v>
      </c>
      <c r="D63" s="4" t="s">
        <v>21</v>
      </c>
      <c r="E63" s="4" t="s">
        <v>39</v>
      </c>
      <c r="F63" s="4" t="s">
        <v>23</v>
      </c>
      <c r="G63" s="4" t="s">
        <v>24</v>
      </c>
      <c r="H63" s="4" t="s">
        <v>25</v>
      </c>
      <c r="I63" s="4" t="s">
        <v>215</v>
      </c>
      <c r="J63" s="4" t="s">
        <v>216</v>
      </c>
      <c r="K63" s="5">
        <v>45254</v>
      </c>
      <c r="L63" s="5">
        <v>45286</v>
      </c>
      <c r="M63" s="5">
        <v>45296</v>
      </c>
      <c r="N63" s="6">
        <f t="shared" si="0"/>
        <v>10</v>
      </c>
      <c r="O63" s="4" t="s">
        <v>28</v>
      </c>
      <c r="P63" s="4">
        <v>957</v>
      </c>
      <c r="Q63" s="4"/>
      <c r="R63" s="4" t="str">
        <f t="shared" si="1"/>
        <v>2023</v>
      </c>
      <c r="S63" s="4" t="str">
        <f t="shared" si="2"/>
        <v>December</v>
      </c>
      <c r="T63" s="4">
        <f t="shared" si="3"/>
        <v>957</v>
      </c>
      <c r="U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row>
    <row r="64" spans="1:53" ht="19.95" customHeight="1">
      <c r="A64" s="4">
        <v>63</v>
      </c>
      <c r="B64" s="4" t="s">
        <v>217</v>
      </c>
      <c r="C64" s="4" t="s">
        <v>20</v>
      </c>
      <c r="D64" s="4" t="s">
        <v>56</v>
      </c>
      <c r="E64" s="4" t="s">
        <v>22</v>
      </c>
      <c r="F64" s="4" t="s">
        <v>218</v>
      </c>
      <c r="G64" s="4" t="s">
        <v>24</v>
      </c>
      <c r="H64" s="4" t="s">
        <v>219</v>
      </c>
      <c r="I64" s="4" t="s">
        <v>220</v>
      </c>
      <c r="J64" s="4" t="s">
        <v>221</v>
      </c>
      <c r="K64" s="5">
        <v>45254</v>
      </c>
      <c r="L64" s="5">
        <v>45283</v>
      </c>
      <c r="M64" s="5">
        <v>45292</v>
      </c>
      <c r="N64" s="6">
        <f t="shared" si="0"/>
        <v>9</v>
      </c>
      <c r="O64" s="4" t="s">
        <v>28</v>
      </c>
      <c r="P64" s="4">
        <v>2109.4899999999998</v>
      </c>
      <c r="Q64" s="4"/>
      <c r="R64" s="4" t="str">
        <f t="shared" si="1"/>
        <v>2023</v>
      </c>
      <c r="S64" s="4" t="str">
        <f t="shared" si="2"/>
        <v>December</v>
      </c>
      <c r="T64" s="4">
        <f t="shared" si="3"/>
        <v>2109.4899999999998</v>
      </c>
      <c r="U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c r="AX64" s="4"/>
      <c r="AY64" s="4"/>
      <c r="AZ64" s="4"/>
      <c r="BA64" s="4"/>
    </row>
    <row r="65" spans="1:53" ht="19.95" customHeight="1">
      <c r="A65" s="4">
        <v>64</v>
      </c>
      <c r="B65" s="4" t="s">
        <v>222</v>
      </c>
      <c r="C65" s="4" t="s">
        <v>20</v>
      </c>
      <c r="D65" s="4" t="s">
        <v>56</v>
      </c>
      <c r="E65" s="4" t="s">
        <v>22</v>
      </c>
      <c r="F65" s="4" t="s">
        <v>223</v>
      </c>
      <c r="G65" s="4" t="s">
        <v>24</v>
      </c>
      <c r="H65" s="4" t="s">
        <v>224</v>
      </c>
      <c r="I65" s="4" t="s">
        <v>225</v>
      </c>
      <c r="J65" s="4" t="s">
        <v>226</v>
      </c>
      <c r="K65" s="5">
        <v>45253</v>
      </c>
      <c r="L65" s="5">
        <v>45256</v>
      </c>
      <c r="M65" s="5">
        <v>45260</v>
      </c>
      <c r="N65" s="6">
        <f t="shared" si="0"/>
        <v>4</v>
      </c>
      <c r="O65" s="4" t="s">
        <v>28</v>
      </c>
      <c r="P65" s="4">
        <v>587.5</v>
      </c>
      <c r="Q65" s="4"/>
      <c r="R65" s="4" t="str">
        <f t="shared" si="1"/>
        <v>2023</v>
      </c>
      <c r="S65" s="4" t="str">
        <f t="shared" si="2"/>
        <v>November</v>
      </c>
      <c r="T65" s="4">
        <f t="shared" si="3"/>
        <v>587.5</v>
      </c>
      <c r="U65" s="4"/>
      <c r="W65" s="4"/>
      <c r="X65" s="4"/>
      <c r="Y65" s="4"/>
      <c r="Z65" s="4"/>
      <c r="AA65" s="4"/>
      <c r="AB65" s="4"/>
      <c r="AC65" s="4"/>
      <c r="AD65" s="4"/>
      <c r="AE65" s="4"/>
      <c r="AF65" s="4"/>
      <c r="AG65" s="4"/>
      <c r="AH65" s="4"/>
      <c r="AI65" s="4"/>
      <c r="AJ65" s="4"/>
      <c r="AK65" s="4"/>
      <c r="AL65" s="4"/>
      <c r="AM65" s="4"/>
      <c r="AN65" s="4"/>
      <c r="AO65" s="4"/>
      <c r="AP65" s="4"/>
      <c r="AQ65" s="4"/>
      <c r="AR65" s="4"/>
      <c r="AS65" s="4"/>
      <c r="AT65" s="4"/>
      <c r="AU65" s="4"/>
      <c r="AV65" s="4"/>
      <c r="AW65" s="4"/>
      <c r="AX65" s="4"/>
      <c r="AY65" s="4"/>
      <c r="AZ65" s="4"/>
      <c r="BA65" s="4"/>
    </row>
    <row r="66" spans="1:53" ht="19.95" customHeight="1">
      <c r="A66" s="4">
        <v>65</v>
      </c>
      <c r="B66" s="4" t="s">
        <v>227</v>
      </c>
      <c r="C66" s="4" t="s">
        <v>20</v>
      </c>
      <c r="D66" s="4" t="s">
        <v>21</v>
      </c>
      <c r="E66" s="4" t="s">
        <v>31</v>
      </c>
      <c r="F66" s="4" t="s">
        <v>23</v>
      </c>
      <c r="G66" s="4" t="s">
        <v>24</v>
      </c>
      <c r="H66" s="4" t="s">
        <v>219</v>
      </c>
      <c r="I66" s="4" t="s">
        <v>228</v>
      </c>
      <c r="J66" s="4" t="s">
        <v>229</v>
      </c>
      <c r="K66" s="5">
        <v>45252</v>
      </c>
      <c r="L66" s="5">
        <v>45261</v>
      </c>
      <c r="M66" s="5">
        <v>45271</v>
      </c>
      <c r="N66" s="6">
        <f t="shared" ref="N66:N129" si="4">M66-L66</f>
        <v>10</v>
      </c>
      <c r="O66" s="4" t="s">
        <v>28</v>
      </c>
      <c r="P66" s="4">
        <v>3898</v>
      </c>
      <c r="Q66" s="4"/>
      <c r="R66" s="4" t="str">
        <f t="shared" ref="R66:R129" si="5">TEXT(L66,"YYY")</f>
        <v>2023</v>
      </c>
      <c r="S66" s="4" t="str">
        <f t="shared" ref="S66:S129" si="6">TEXT(L66,"MMMM")</f>
        <v>December</v>
      </c>
      <c r="T66" s="4">
        <f t="shared" ref="T66:T129" si="7">P66</f>
        <v>3898</v>
      </c>
      <c r="U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c r="AW66" s="4"/>
      <c r="AX66" s="4"/>
      <c r="AY66" s="4"/>
      <c r="AZ66" s="4"/>
      <c r="BA66" s="4"/>
    </row>
    <row r="67" spans="1:53" ht="19.95" customHeight="1">
      <c r="A67" s="4">
        <v>66</v>
      </c>
      <c r="B67" s="4" t="s">
        <v>230</v>
      </c>
      <c r="C67" s="4" t="s">
        <v>20</v>
      </c>
      <c r="D67" s="4" t="s">
        <v>56</v>
      </c>
      <c r="E67" s="4" t="s">
        <v>39</v>
      </c>
      <c r="F67" s="4" t="s">
        <v>48</v>
      </c>
      <c r="G67" s="4" t="s">
        <v>24</v>
      </c>
      <c r="H67" s="4" t="s">
        <v>49</v>
      </c>
      <c r="I67" s="4" t="s">
        <v>231</v>
      </c>
      <c r="J67" s="4" t="s">
        <v>232</v>
      </c>
      <c r="K67" s="5">
        <v>45251</v>
      </c>
      <c r="L67" s="5">
        <v>45311</v>
      </c>
      <c r="M67" s="5">
        <v>45320</v>
      </c>
      <c r="N67" s="6">
        <f t="shared" si="4"/>
        <v>9</v>
      </c>
      <c r="O67" s="4" t="s">
        <v>28</v>
      </c>
      <c r="P67" s="4">
        <v>17425</v>
      </c>
      <c r="Q67" s="4"/>
      <c r="R67" s="4" t="str">
        <f t="shared" si="5"/>
        <v>2024</v>
      </c>
      <c r="S67" s="4" t="str">
        <f t="shared" si="6"/>
        <v>January</v>
      </c>
      <c r="T67" s="4">
        <f t="shared" si="7"/>
        <v>17425</v>
      </c>
      <c r="U67" s="4"/>
      <c r="W67" s="4"/>
      <c r="X67" s="4"/>
      <c r="Y67" s="4"/>
      <c r="Z67" s="4"/>
      <c r="AA67" s="4"/>
      <c r="AB67" s="4"/>
      <c r="AC67" s="4"/>
      <c r="AD67" s="4"/>
      <c r="AE67" s="4"/>
      <c r="AF67" s="4"/>
      <c r="AG67" s="4"/>
      <c r="AH67" s="4"/>
      <c r="AI67" s="4"/>
      <c r="AJ67" s="4"/>
      <c r="AK67" s="4"/>
      <c r="AL67" s="4"/>
      <c r="AM67" s="4"/>
      <c r="AN67" s="4"/>
      <c r="AO67" s="4"/>
      <c r="AP67" s="4"/>
      <c r="AQ67" s="4"/>
      <c r="AR67" s="4"/>
      <c r="AS67" s="4"/>
      <c r="AT67" s="4"/>
      <c r="AU67" s="4"/>
      <c r="AV67" s="4"/>
      <c r="AW67" s="4"/>
      <c r="AX67" s="4"/>
      <c r="AY67" s="4"/>
      <c r="AZ67" s="4"/>
      <c r="BA67" s="4"/>
    </row>
    <row r="68" spans="1:53" ht="19.95" customHeight="1">
      <c r="A68" s="4">
        <v>67</v>
      </c>
      <c r="B68" s="4" t="s">
        <v>233</v>
      </c>
      <c r="C68" s="4" t="s">
        <v>20</v>
      </c>
      <c r="D68" s="4" t="s">
        <v>21</v>
      </c>
      <c r="E68" s="4" t="s">
        <v>22</v>
      </c>
      <c r="F68" s="4" t="s">
        <v>23</v>
      </c>
      <c r="G68" s="4" t="s">
        <v>24</v>
      </c>
      <c r="H68" s="4" t="s">
        <v>25</v>
      </c>
      <c r="I68" s="4" t="s">
        <v>234</v>
      </c>
      <c r="J68" s="4" t="s">
        <v>235</v>
      </c>
      <c r="K68" s="5">
        <v>45250</v>
      </c>
      <c r="L68" s="5">
        <v>45311</v>
      </c>
      <c r="M68" s="5">
        <v>45332</v>
      </c>
      <c r="N68" s="6">
        <f t="shared" si="4"/>
        <v>21</v>
      </c>
      <c r="O68" s="4" t="s">
        <v>28</v>
      </c>
      <c r="P68" s="4">
        <v>21558.31</v>
      </c>
      <c r="Q68" s="4"/>
      <c r="R68" s="4" t="str">
        <f t="shared" si="5"/>
        <v>2024</v>
      </c>
      <c r="S68" s="4" t="str">
        <f t="shared" si="6"/>
        <v>January</v>
      </c>
      <c r="T68" s="4">
        <f t="shared" si="7"/>
        <v>21558.31</v>
      </c>
      <c r="U68" s="4"/>
      <c r="W68" s="4"/>
      <c r="X68" s="4"/>
      <c r="Y68" s="4"/>
      <c r="Z68" s="4"/>
      <c r="AA68" s="4"/>
      <c r="AB68" s="4"/>
      <c r="AC68" s="4"/>
      <c r="AD68" s="4"/>
      <c r="AE68" s="4"/>
      <c r="AF68" s="4"/>
      <c r="AG68" s="4"/>
      <c r="AH68" s="4"/>
      <c r="AI68" s="4"/>
      <c r="AJ68" s="4"/>
      <c r="AK68" s="4"/>
      <c r="AL68" s="4"/>
      <c r="AM68" s="4"/>
      <c r="AN68" s="4"/>
      <c r="AO68" s="4"/>
      <c r="AP68" s="4"/>
      <c r="AQ68" s="4"/>
      <c r="AR68" s="4"/>
      <c r="AS68" s="4"/>
      <c r="AT68" s="4"/>
      <c r="AU68" s="4"/>
      <c r="AV68" s="4"/>
      <c r="AW68" s="4"/>
      <c r="AX68" s="4"/>
      <c r="AY68" s="4"/>
      <c r="AZ68" s="4"/>
      <c r="BA68" s="4"/>
    </row>
    <row r="69" spans="1:53" ht="19.95" customHeight="1">
      <c r="A69" s="4">
        <v>68</v>
      </c>
      <c r="B69" s="4" t="s">
        <v>236</v>
      </c>
      <c r="C69" s="4" t="s">
        <v>20</v>
      </c>
      <c r="D69" s="4" t="s">
        <v>56</v>
      </c>
      <c r="E69" s="4" t="s">
        <v>39</v>
      </c>
      <c r="F69" s="4" t="s">
        <v>223</v>
      </c>
      <c r="G69" s="4" t="s">
        <v>24</v>
      </c>
      <c r="H69" s="4" t="s">
        <v>224</v>
      </c>
      <c r="I69" s="4" t="s">
        <v>237</v>
      </c>
      <c r="J69" s="4" t="s">
        <v>238</v>
      </c>
      <c r="K69" s="5">
        <v>45248</v>
      </c>
      <c r="L69" s="5">
        <v>45287</v>
      </c>
      <c r="M69" s="5">
        <v>45294</v>
      </c>
      <c r="N69" s="6">
        <f t="shared" si="4"/>
        <v>7</v>
      </c>
      <c r="O69" s="4" t="s">
        <v>28</v>
      </c>
      <c r="P69" s="4">
        <v>6162.1</v>
      </c>
      <c r="Q69" s="4"/>
      <c r="R69" s="4" t="str">
        <f t="shared" si="5"/>
        <v>2023</v>
      </c>
      <c r="S69" s="4" t="str">
        <f t="shared" si="6"/>
        <v>December</v>
      </c>
      <c r="T69" s="4">
        <f t="shared" si="7"/>
        <v>6162.1</v>
      </c>
      <c r="U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c r="AX69" s="4"/>
      <c r="AY69" s="4"/>
      <c r="AZ69" s="4"/>
      <c r="BA69" s="4"/>
    </row>
    <row r="70" spans="1:53" ht="19.95" customHeight="1">
      <c r="A70" s="4">
        <v>69</v>
      </c>
      <c r="B70" s="4" t="s">
        <v>239</v>
      </c>
      <c r="C70" s="4" t="s">
        <v>20</v>
      </c>
      <c r="D70" s="4" t="s">
        <v>56</v>
      </c>
      <c r="E70" s="4" t="s">
        <v>39</v>
      </c>
      <c r="F70" s="4" t="s">
        <v>23</v>
      </c>
      <c r="G70" s="4" t="s">
        <v>24</v>
      </c>
      <c r="H70" s="4" t="s">
        <v>25</v>
      </c>
      <c r="I70" s="4" t="s">
        <v>240</v>
      </c>
      <c r="J70" s="4" t="s">
        <v>241</v>
      </c>
      <c r="K70" s="5">
        <v>45248</v>
      </c>
      <c r="L70" s="5">
        <v>45329</v>
      </c>
      <c r="M70" s="5">
        <v>45339</v>
      </c>
      <c r="N70" s="6">
        <f t="shared" si="4"/>
        <v>10</v>
      </c>
      <c r="O70" s="4" t="s">
        <v>28</v>
      </c>
      <c r="P70" s="4">
        <v>13799.45</v>
      </c>
      <c r="Q70" s="4"/>
      <c r="R70" s="4" t="str">
        <f t="shared" si="5"/>
        <v>2024</v>
      </c>
      <c r="S70" s="4" t="str">
        <f t="shared" si="6"/>
        <v>February</v>
      </c>
      <c r="T70" s="4">
        <f t="shared" si="7"/>
        <v>13799.45</v>
      </c>
      <c r="U70" s="4"/>
      <c r="W70" s="4"/>
      <c r="X70" s="4"/>
      <c r="Y70" s="4"/>
      <c r="Z70" s="4"/>
      <c r="AA70" s="4"/>
      <c r="AB70" s="4"/>
      <c r="AC70" s="4"/>
      <c r="AD70" s="4"/>
      <c r="AE70" s="4"/>
      <c r="AF70" s="4"/>
      <c r="AG70" s="4"/>
      <c r="AH70" s="4"/>
      <c r="AI70" s="4"/>
      <c r="AJ70" s="4"/>
      <c r="AK70" s="4"/>
      <c r="AL70" s="4"/>
      <c r="AM70" s="4"/>
      <c r="AN70" s="4"/>
      <c r="AO70" s="4"/>
      <c r="AP70" s="4"/>
      <c r="AQ70" s="4"/>
      <c r="AR70" s="4"/>
      <c r="AS70" s="4"/>
      <c r="AT70" s="4"/>
      <c r="AU70" s="4"/>
      <c r="AV70" s="4"/>
      <c r="AW70" s="4"/>
      <c r="AX70" s="4"/>
      <c r="AY70" s="4"/>
      <c r="AZ70" s="4"/>
      <c r="BA70" s="4"/>
    </row>
    <row r="71" spans="1:53" ht="19.95" customHeight="1">
      <c r="A71" s="4">
        <v>70</v>
      </c>
      <c r="B71" s="4" t="s">
        <v>242</v>
      </c>
      <c r="C71" s="4" t="s">
        <v>20</v>
      </c>
      <c r="D71" s="4" t="s">
        <v>21</v>
      </c>
      <c r="E71" s="4" t="s">
        <v>39</v>
      </c>
      <c r="F71" s="4" t="s">
        <v>48</v>
      </c>
      <c r="G71" s="4" t="s">
        <v>24</v>
      </c>
      <c r="H71" s="4" t="s">
        <v>49</v>
      </c>
      <c r="I71" s="4" t="s">
        <v>243</v>
      </c>
      <c r="J71" s="4" t="s">
        <v>244</v>
      </c>
      <c r="K71" s="5">
        <v>45248</v>
      </c>
      <c r="L71" s="5">
        <v>45293</v>
      </c>
      <c r="M71" s="5">
        <v>45304</v>
      </c>
      <c r="N71" s="6">
        <f t="shared" si="4"/>
        <v>11</v>
      </c>
      <c r="O71" s="4" t="s">
        <v>28</v>
      </c>
      <c r="P71" s="4">
        <v>3949.07</v>
      </c>
      <c r="Q71" s="4"/>
      <c r="R71" s="4" t="str">
        <f t="shared" si="5"/>
        <v>2024</v>
      </c>
      <c r="S71" s="4" t="str">
        <f t="shared" si="6"/>
        <v>January</v>
      </c>
      <c r="T71" s="4">
        <f t="shared" si="7"/>
        <v>3949.07</v>
      </c>
      <c r="U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c r="AW71" s="4"/>
      <c r="AX71" s="4"/>
      <c r="AY71" s="4"/>
      <c r="AZ71" s="4"/>
      <c r="BA71" s="4"/>
    </row>
    <row r="72" spans="1:53" ht="19.95" customHeight="1">
      <c r="A72" s="4">
        <v>71</v>
      </c>
      <c r="B72" s="4" t="s">
        <v>245</v>
      </c>
      <c r="C72" s="4" t="s">
        <v>20</v>
      </c>
      <c r="D72" s="4" t="s">
        <v>21</v>
      </c>
      <c r="E72" s="4" t="s">
        <v>22</v>
      </c>
      <c r="F72" s="4" t="s">
        <v>23</v>
      </c>
      <c r="G72" s="4" t="s">
        <v>24</v>
      </c>
      <c r="H72" s="4" t="s">
        <v>25</v>
      </c>
      <c r="I72" s="4" t="s">
        <v>246</v>
      </c>
      <c r="J72" s="4" t="s">
        <v>247</v>
      </c>
      <c r="K72" s="5">
        <v>45248</v>
      </c>
      <c r="L72" s="5">
        <v>45329</v>
      </c>
      <c r="M72" s="5">
        <v>45345</v>
      </c>
      <c r="N72" s="6">
        <f t="shared" si="4"/>
        <v>16</v>
      </c>
      <c r="O72" s="4" t="s">
        <v>28</v>
      </c>
      <c r="P72" s="4">
        <v>3826.03</v>
      </c>
      <c r="Q72" s="4"/>
      <c r="R72" s="4" t="str">
        <f t="shared" si="5"/>
        <v>2024</v>
      </c>
      <c r="S72" s="4" t="str">
        <f t="shared" si="6"/>
        <v>February</v>
      </c>
      <c r="T72" s="4">
        <f t="shared" si="7"/>
        <v>3826.03</v>
      </c>
      <c r="U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c r="AX72" s="4"/>
      <c r="AY72" s="4"/>
      <c r="AZ72" s="4"/>
      <c r="BA72" s="4"/>
    </row>
    <row r="73" spans="1:53" ht="19.95" customHeight="1">
      <c r="A73" s="4">
        <v>72</v>
      </c>
      <c r="B73" s="4" t="s">
        <v>248</v>
      </c>
      <c r="C73" s="4" t="s">
        <v>20</v>
      </c>
      <c r="D73" s="4" t="s">
        <v>21</v>
      </c>
      <c r="E73" s="4" t="s">
        <v>39</v>
      </c>
      <c r="F73" s="4" t="s">
        <v>43</v>
      </c>
      <c r="G73" s="4" t="s">
        <v>24</v>
      </c>
      <c r="H73" s="4" t="s">
        <v>44</v>
      </c>
      <c r="I73" s="4" t="s">
        <v>249</v>
      </c>
      <c r="J73" s="4" t="s">
        <v>250</v>
      </c>
      <c r="K73" s="5">
        <v>45247</v>
      </c>
      <c r="L73" s="5">
        <v>45292</v>
      </c>
      <c r="M73" s="5">
        <v>45300</v>
      </c>
      <c r="N73" s="6">
        <f t="shared" si="4"/>
        <v>8</v>
      </c>
      <c r="O73" s="4" t="s">
        <v>28</v>
      </c>
      <c r="P73" s="4">
        <v>12036.23</v>
      </c>
      <c r="Q73" s="4"/>
      <c r="R73" s="4" t="str">
        <f t="shared" si="5"/>
        <v>2024</v>
      </c>
      <c r="S73" s="4" t="str">
        <f t="shared" si="6"/>
        <v>January</v>
      </c>
      <c r="T73" s="4">
        <f t="shared" si="7"/>
        <v>12036.23</v>
      </c>
      <c r="U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c r="AX73" s="4"/>
      <c r="AY73" s="4"/>
      <c r="AZ73" s="4"/>
      <c r="BA73" s="4"/>
    </row>
    <row r="74" spans="1:53" ht="19.95" customHeight="1">
      <c r="A74" s="4">
        <v>73</v>
      </c>
      <c r="B74" s="4" t="s">
        <v>251</v>
      </c>
      <c r="C74" s="4" t="s">
        <v>20</v>
      </c>
      <c r="D74" s="4" t="s">
        <v>30</v>
      </c>
      <c r="E74" s="4" t="s">
        <v>39</v>
      </c>
      <c r="F74" s="4" t="s">
        <v>24</v>
      </c>
      <c r="G74" s="4" t="s">
        <v>24</v>
      </c>
      <c r="H74" s="4" t="s">
        <v>200</v>
      </c>
      <c r="I74" s="4" t="s">
        <v>201</v>
      </c>
      <c r="J74" s="4" t="s">
        <v>202</v>
      </c>
      <c r="K74" s="5">
        <v>45247</v>
      </c>
      <c r="L74" s="5">
        <v>45264</v>
      </c>
      <c r="M74" s="5">
        <v>45264</v>
      </c>
      <c r="N74" s="6">
        <f t="shared" si="4"/>
        <v>0</v>
      </c>
      <c r="O74" s="4" t="s">
        <v>28</v>
      </c>
      <c r="P74" s="4">
        <v>227.47</v>
      </c>
      <c r="Q74" s="4"/>
      <c r="R74" s="4" t="str">
        <f t="shared" si="5"/>
        <v>2023</v>
      </c>
      <c r="S74" s="4" t="str">
        <f t="shared" si="6"/>
        <v>December</v>
      </c>
      <c r="T74" s="4">
        <f t="shared" si="7"/>
        <v>227.47</v>
      </c>
      <c r="U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c r="AW74" s="4"/>
      <c r="AX74" s="4"/>
      <c r="AY74" s="4"/>
      <c r="AZ74" s="4"/>
      <c r="BA74" s="4"/>
    </row>
    <row r="75" spans="1:53" ht="19.95" customHeight="1">
      <c r="A75" s="4">
        <v>74</v>
      </c>
      <c r="B75" s="4" t="s">
        <v>252</v>
      </c>
      <c r="C75" s="4" t="s">
        <v>20</v>
      </c>
      <c r="D75" s="4" t="s">
        <v>21</v>
      </c>
      <c r="E75" s="4" t="s">
        <v>39</v>
      </c>
      <c r="F75" s="4" t="s">
        <v>253</v>
      </c>
      <c r="G75" s="4" t="s">
        <v>24</v>
      </c>
      <c r="H75" s="4" t="s">
        <v>254</v>
      </c>
      <c r="I75" s="4" t="s">
        <v>255</v>
      </c>
      <c r="J75" s="4" t="s">
        <v>256</v>
      </c>
      <c r="K75" s="5">
        <v>45247</v>
      </c>
      <c r="L75" s="5">
        <v>45338</v>
      </c>
      <c r="M75" s="5">
        <v>45359</v>
      </c>
      <c r="N75" s="6">
        <f t="shared" si="4"/>
        <v>21</v>
      </c>
      <c r="O75" s="4" t="s">
        <v>28</v>
      </c>
      <c r="P75" s="4">
        <v>5892.02</v>
      </c>
      <c r="Q75" s="4"/>
      <c r="R75" s="4" t="str">
        <f t="shared" si="5"/>
        <v>2024</v>
      </c>
      <c r="S75" s="4" t="str">
        <f t="shared" si="6"/>
        <v>February</v>
      </c>
      <c r="T75" s="4">
        <f t="shared" si="7"/>
        <v>5892.02</v>
      </c>
      <c r="U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c r="AW75" s="4"/>
      <c r="AX75" s="4"/>
      <c r="AY75" s="4"/>
      <c r="AZ75" s="4"/>
      <c r="BA75" s="4"/>
    </row>
    <row r="76" spans="1:53" ht="19.95" customHeight="1">
      <c r="A76" s="4">
        <v>75</v>
      </c>
      <c r="B76" s="4" t="s">
        <v>257</v>
      </c>
      <c r="C76" s="4" t="s">
        <v>20</v>
      </c>
      <c r="D76" s="4" t="s">
        <v>21</v>
      </c>
      <c r="E76" s="4" t="s">
        <v>22</v>
      </c>
      <c r="F76" s="4" t="s">
        <v>23</v>
      </c>
      <c r="G76" s="4" t="s">
        <v>24</v>
      </c>
      <c r="H76" s="4" t="s">
        <v>25</v>
      </c>
      <c r="I76" s="4" t="s">
        <v>258</v>
      </c>
      <c r="J76" s="4" t="s">
        <v>259</v>
      </c>
      <c r="K76" s="5">
        <v>45247</v>
      </c>
      <c r="L76" s="5">
        <v>45278</v>
      </c>
      <c r="M76" s="5">
        <v>45292</v>
      </c>
      <c r="N76" s="6">
        <f t="shared" si="4"/>
        <v>14</v>
      </c>
      <c r="O76" s="4" t="s">
        <v>28</v>
      </c>
      <c r="P76" s="4">
        <v>1777.52</v>
      </c>
      <c r="Q76" s="4"/>
      <c r="R76" s="4" t="str">
        <f t="shared" si="5"/>
        <v>2023</v>
      </c>
      <c r="S76" s="4" t="str">
        <f t="shared" si="6"/>
        <v>December</v>
      </c>
      <c r="T76" s="4">
        <f t="shared" si="7"/>
        <v>1777.52</v>
      </c>
      <c r="U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c r="AX76" s="4"/>
      <c r="AY76" s="4"/>
      <c r="AZ76" s="4"/>
      <c r="BA76" s="4"/>
    </row>
    <row r="77" spans="1:53" ht="19.95" customHeight="1">
      <c r="A77" s="4">
        <v>76</v>
      </c>
      <c r="B77" s="4" t="s">
        <v>260</v>
      </c>
      <c r="C77" s="4" t="s">
        <v>20</v>
      </c>
      <c r="D77" s="4" t="s">
        <v>21</v>
      </c>
      <c r="E77" s="4" t="s">
        <v>22</v>
      </c>
      <c r="F77" s="4" t="s">
        <v>23</v>
      </c>
      <c r="G77" s="4" t="s">
        <v>24</v>
      </c>
      <c r="H77" s="4" t="s">
        <v>25</v>
      </c>
      <c r="I77" s="4" t="s">
        <v>261</v>
      </c>
      <c r="J77" s="4" t="s">
        <v>262</v>
      </c>
      <c r="K77" s="5">
        <v>45246</v>
      </c>
      <c r="L77" s="5">
        <v>45262</v>
      </c>
      <c r="M77" s="5">
        <v>45267</v>
      </c>
      <c r="N77" s="6">
        <f t="shared" si="4"/>
        <v>5</v>
      </c>
      <c r="O77" s="4" t="s">
        <v>28</v>
      </c>
      <c r="P77" s="4">
        <v>510</v>
      </c>
      <c r="Q77" s="4"/>
      <c r="R77" s="4" t="str">
        <f t="shared" si="5"/>
        <v>2023</v>
      </c>
      <c r="S77" s="4" t="str">
        <f t="shared" si="6"/>
        <v>December</v>
      </c>
      <c r="T77" s="4">
        <f t="shared" si="7"/>
        <v>510</v>
      </c>
      <c r="U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c r="AX77" s="4"/>
      <c r="AY77" s="4"/>
      <c r="AZ77" s="4"/>
      <c r="BA77" s="4"/>
    </row>
    <row r="78" spans="1:53" ht="19.95" customHeight="1">
      <c r="A78" s="4">
        <v>77</v>
      </c>
      <c r="B78" s="4" t="s">
        <v>263</v>
      </c>
      <c r="C78" s="4" t="s">
        <v>20</v>
      </c>
      <c r="D78" s="4" t="s">
        <v>21</v>
      </c>
      <c r="E78" s="4" t="s">
        <v>22</v>
      </c>
      <c r="F78" s="4" t="s">
        <v>48</v>
      </c>
      <c r="G78" s="4" t="s">
        <v>24</v>
      </c>
      <c r="H78" s="4" t="s">
        <v>49</v>
      </c>
      <c r="I78" s="4" t="s">
        <v>264</v>
      </c>
      <c r="J78" s="4" t="s">
        <v>265</v>
      </c>
      <c r="K78" s="5">
        <v>45246</v>
      </c>
      <c r="L78" s="5">
        <v>45369</v>
      </c>
      <c r="M78" s="5">
        <v>45390</v>
      </c>
      <c r="N78" s="6">
        <f t="shared" si="4"/>
        <v>21</v>
      </c>
      <c r="O78" s="4" t="s">
        <v>28</v>
      </c>
      <c r="P78" s="4">
        <v>6678.91</v>
      </c>
      <c r="Q78" s="4"/>
      <c r="R78" s="4" t="str">
        <f t="shared" si="5"/>
        <v>2024</v>
      </c>
      <c r="S78" s="4" t="str">
        <f t="shared" si="6"/>
        <v>March</v>
      </c>
      <c r="T78" s="4">
        <f t="shared" si="7"/>
        <v>6678.91</v>
      </c>
      <c r="U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row>
    <row r="79" spans="1:53" ht="19.95" customHeight="1">
      <c r="A79" s="4">
        <v>78</v>
      </c>
      <c r="B79" s="4" t="s">
        <v>266</v>
      </c>
      <c r="C79" s="4" t="s">
        <v>20</v>
      </c>
      <c r="D79" s="4" t="s">
        <v>21</v>
      </c>
      <c r="E79" s="4" t="s">
        <v>31</v>
      </c>
      <c r="F79" s="4" t="s">
        <v>48</v>
      </c>
      <c r="G79" s="4" t="s">
        <v>24</v>
      </c>
      <c r="H79" s="4" t="s">
        <v>25</v>
      </c>
      <c r="I79" s="4" t="s">
        <v>267</v>
      </c>
      <c r="J79" s="4" t="s">
        <v>268</v>
      </c>
      <c r="K79" s="5">
        <v>45244</v>
      </c>
      <c r="L79" s="5">
        <v>45374</v>
      </c>
      <c r="M79" s="5">
        <v>45387</v>
      </c>
      <c r="N79" s="6">
        <f t="shared" si="4"/>
        <v>13</v>
      </c>
      <c r="O79" s="4" t="s">
        <v>28</v>
      </c>
      <c r="P79" s="4">
        <v>11244.4</v>
      </c>
      <c r="Q79" s="4"/>
      <c r="R79" s="4" t="str">
        <f t="shared" si="5"/>
        <v>2024</v>
      </c>
      <c r="S79" s="4" t="str">
        <f t="shared" si="6"/>
        <v>March</v>
      </c>
      <c r="T79" s="4">
        <f t="shared" si="7"/>
        <v>11244.4</v>
      </c>
      <c r="U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row>
    <row r="80" spans="1:53" ht="19.95" customHeight="1">
      <c r="A80" s="4">
        <v>79</v>
      </c>
      <c r="B80" s="4" t="s">
        <v>269</v>
      </c>
      <c r="C80" s="4" t="s">
        <v>20</v>
      </c>
      <c r="D80" s="4" t="s">
        <v>21</v>
      </c>
      <c r="E80" s="4" t="s">
        <v>22</v>
      </c>
      <c r="F80" s="4" t="s">
        <v>23</v>
      </c>
      <c r="G80" s="4" t="s">
        <v>24</v>
      </c>
      <c r="H80" s="4" t="s">
        <v>25</v>
      </c>
      <c r="I80" s="4" t="s">
        <v>270</v>
      </c>
      <c r="J80" s="4" t="s">
        <v>271</v>
      </c>
      <c r="K80" s="5">
        <v>45244</v>
      </c>
      <c r="L80" s="5">
        <v>45306</v>
      </c>
      <c r="M80" s="5">
        <v>45327</v>
      </c>
      <c r="N80" s="6">
        <f t="shared" si="4"/>
        <v>21</v>
      </c>
      <c r="O80" s="4" t="s">
        <v>28</v>
      </c>
      <c r="P80" s="4">
        <v>8761.4</v>
      </c>
      <c r="Q80" s="4"/>
      <c r="R80" s="4" t="str">
        <f t="shared" si="5"/>
        <v>2024</v>
      </c>
      <c r="S80" s="4" t="str">
        <f t="shared" si="6"/>
        <v>January</v>
      </c>
      <c r="T80" s="4">
        <f t="shared" si="7"/>
        <v>8761.4</v>
      </c>
      <c r="U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row>
    <row r="81" spans="1:53" ht="19.95" customHeight="1">
      <c r="A81" s="4">
        <v>80</v>
      </c>
      <c r="B81" s="4" t="s">
        <v>272</v>
      </c>
      <c r="C81" s="4" t="s">
        <v>20</v>
      </c>
      <c r="D81" s="4" t="s">
        <v>21</v>
      </c>
      <c r="E81" s="4" t="s">
        <v>39</v>
      </c>
      <c r="F81" s="4" t="s">
        <v>23</v>
      </c>
      <c r="G81" s="4" t="s">
        <v>24</v>
      </c>
      <c r="H81" s="4" t="s">
        <v>25</v>
      </c>
      <c r="I81" s="4" t="s">
        <v>273</v>
      </c>
      <c r="J81" s="4" t="s">
        <v>274</v>
      </c>
      <c r="K81" s="5">
        <v>45239</v>
      </c>
      <c r="L81" s="5">
        <v>45277</v>
      </c>
      <c r="M81" s="5">
        <v>45286</v>
      </c>
      <c r="N81" s="6">
        <f t="shared" si="4"/>
        <v>9</v>
      </c>
      <c r="O81" s="4" t="s">
        <v>28</v>
      </c>
      <c r="P81" s="4">
        <v>32241.78</v>
      </c>
      <c r="Q81" s="4"/>
      <c r="R81" s="4" t="str">
        <f t="shared" si="5"/>
        <v>2023</v>
      </c>
      <c r="S81" s="4" t="str">
        <f t="shared" si="6"/>
        <v>December</v>
      </c>
      <c r="T81" s="4">
        <f t="shared" si="7"/>
        <v>32241.78</v>
      </c>
      <c r="U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4"/>
      <c r="AX81" s="4"/>
      <c r="AY81" s="4"/>
      <c r="AZ81" s="4"/>
      <c r="BA81" s="4"/>
    </row>
    <row r="82" spans="1:53" ht="19.95" customHeight="1">
      <c r="A82" s="4">
        <v>81</v>
      </c>
      <c r="B82" s="4" t="s">
        <v>275</v>
      </c>
      <c r="C82" s="4" t="s">
        <v>20</v>
      </c>
      <c r="D82" s="4" t="s">
        <v>21</v>
      </c>
      <c r="E82" s="4" t="s">
        <v>31</v>
      </c>
      <c r="F82" s="4" t="s">
        <v>23</v>
      </c>
      <c r="G82" s="4" t="s">
        <v>24</v>
      </c>
      <c r="H82" s="4" t="s">
        <v>25</v>
      </c>
      <c r="I82" s="4" t="s">
        <v>276</v>
      </c>
      <c r="J82" s="4" t="s">
        <v>277</v>
      </c>
      <c r="K82" s="5">
        <v>45236</v>
      </c>
      <c r="L82" s="5">
        <v>45333</v>
      </c>
      <c r="M82" s="5">
        <v>45351</v>
      </c>
      <c r="N82" s="6">
        <f t="shared" si="4"/>
        <v>18</v>
      </c>
      <c r="O82" s="4" t="s">
        <v>28</v>
      </c>
      <c r="P82" s="4">
        <v>8355.84</v>
      </c>
      <c r="Q82" s="4"/>
      <c r="R82" s="4" t="str">
        <f t="shared" si="5"/>
        <v>2024</v>
      </c>
      <c r="S82" s="4" t="str">
        <f t="shared" si="6"/>
        <v>February</v>
      </c>
      <c r="T82" s="4">
        <f t="shared" si="7"/>
        <v>8355.84</v>
      </c>
      <c r="U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row>
    <row r="83" spans="1:53" ht="19.95" customHeight="1">
      <c r="A83" s="4">
        <v>82</v>
      </c>
      <c r="B83" s="4" t="s">
        <v>278</v>
      </c>
      <c r="C83" s="4" t="s">
        <v>65</v>
      </c>
      <c r="D83" s="4" t="s">
        <v>21</v>
      </c>
      <c r="E83" s="4" t="s">
        <v>22</v>
      </c>
      <c r="F83" s="4" t="s">
        <v>43</v>
      </c>
      <c r="G83" s="4" t="s">
        <v>24</v>
      </c>
      <c r="H83" s="4" t="s">
        <v>44</v>
      </c>
      <c r="I83" s="4" t="s">
        <v>279</v>
      </c>
      <c r="J83" s="4" t="s">
        <v>280</v>
      </c>
      <c r="K83" s="5">
        <v>45233</v>
      </c>
      <c r="L83" s="5">
        <v>45294</v>
      </c>
      <c r="M83" s="5">
        <v>45301</v>
      </c>
      <c r="N83" s="6">
        <f t="shared" si="4"/>
        <v>7</v>
      </c>
      <c r="O83" s="4" t="s">
        <v>28</v>
      </c>
      <c r="P83" s="4">
        <v>1864.68</v>
      </c>
      <c r="Q83" s="4"/>
      <c r="R83" s="4" t="str">
        <f t="shared" si="5"/>
        <v>2024</v>
      </c>
      <c r="S83" s="4" t="str">
        <f t="shared" si="6"/>
        <v>January</v>
      </c>
      <c r="T83" s="4">
        <f t="shared" si="7"/>
        <v>1864.68</v>
      </c>
      <c r="U83" s="4"/>
      <c r="W83" s="4"/>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c r="AX83" s="4"/>
      <c r="AY83" s="4"/>
      <c r="AZ83" s="4"/>
      <c r="BA83" s="4"/>
    </row>
    <row r="84" spans="1:53" ht="19.95" customHeight="1">
      <c r="A84" s="4">
        <v>83</v>
      </c>
      <c r="B84" s="4" t="s">
        <v>281</v>
      </c>
      <c r="C84" s="4" t="s">
        <v>20</v>
      </c>
      <c r="D84" s="4" t="s">
        <v>21</v>
      </c>
      <c r="E84" s="4" t="s">
        <v>39</v>
      </c>
      <c r="F84" s="4" t="s">
        <v>23</v>
      </c>
      <c r="G84" s="4" t="s">
        <v>24</v>
      </c>
      <c r="H84" s="4" t="s">
        <v>25</v>
      </c>
      <c r="I84" s="4" t="s">
        <v>282</v>
      </c>
      <c r="J84" s="4" t="s">
        <v>283</v>
      </c>
      <c r="K84" s="5">
        <v>45233</v>
      </c>
      <c r="L84" s="5">
        <v>45339</v>
      </c>
      <c r="M84" s="5">
        <v>45361</v>
      </c>
      <c r="N84" s="6">
        <f t="shared" si="4"/>
        <v>22</v>
      </c>
      <c r="O84" s="4" t="s">
        <v>28</v>
      </c>
      <c r="P84" s="4">
        <v>13096.25</v>
      </c>
      <c r="Q84" s="4"/>
      <c r="R84" s="4" t="str">
        <f t="shared" si="5"/>
        <v>2024</v>
      </c>
      <c r="S84" s="4" t="str">
        <f t="shared" si="6"/>
        <v>February</v>
      </c>
      <c r="T84" s="4">
        <f t="shared" si="7"/>
        <v>13096.25</v>
      </c>
      <c r="U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row>
    <row r="85" spans="1:53" ht="19.95" customHeight="1">
      <c r="A85" s="4">
        <v>84</v>
      </c>
      <c r="B85" s="4" t="s">
        <v>284</v>
      </c>
      <c r="C85" s="4" t="s">
        <v>20</v>
      </c>
      <c r="D85" s="4" t="s">
        <v>21</v>
      </c>
      <c r="E85" s="4" t="s">
        <v>39</v>
      </c>
      <c r="F85" s="4" t="s">
        <v>285</v>
      </c>
      <c r="G85" s="4" t="s">
        <v>24</v>
      </c>
      <c r="H85" s="4" t="s">
        <v>286</v>
      </c>
      <c r="I85" s="4" t="s">
        <v>287</v>
      </c>
      <c r="J85" s="4" t="s">
        <v>288</v>
      </c>
      <c r="K85" s="5">
        <v>45231</v>
      </c>
      <c r="L85" s="5">
        <v>45288</v>
      </c>
      <c r="M85" s="5">
        <v>45310</v>
      </c>
      <c r="N85" s="6">
        <f t="shared" si="4"/>
        <v>22</v>
      </c>
      <c r="O85" s="4" t="s">
        <v>28</v>
      </c>
      <c r="P85" s="4">
        <v>5664.42</v>
      </c>
      <c r="Q85" s="4"/>
      <c r="R85" s="4" t="str">
        <f t="shared" si="5"/>
        <v>2023</v>
      </c>
      <c r="S85" s="4" t="str">
        <f t="shared" si="6"/>
        <v>December</v>
      </c>
      <c r="T85" s="4">
        <f t="shared" si="7"/>
        <v>5664.42</v>
      </c>
      <c r="U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row>
    <row r="86" spans="1:53" ht="19.95" customHeight="1">
      <c r="A86" s="4">
        <v>85</v>
      </c>
      <c r="B86" s="4" t="s">
        <v>289</v>
      </c>
      <c r="C86" s="4" t="s">
        <v>20</v>
      </c>
      <c r="D86" s="4" t="s">
        <v>21</v>
      </c>
      <c r="E86" s="4" t="s">
        <v>22</v>
      </c>
      <c r="F86" s="4" t="s">
        <v>23</v>
      </c>
      <c r="G86" s="4" t="s">
        <v>24</v>
      </c>
      <c r="H86" s="4" t="s">
        <v>25</v>
      </c>
      <c r="I86" s="4" t="s">
        <v>290</v>
      </c>
      <c r="J86" s="4" t="s">
        <v>291</v>
      </c>
      <c r="K86" s="5">
        <v>45229</v>
      </c>
      <c r="L86" s="5">
        <v>45368</v>
      </c>
      <c r="M86" s="5">
        <v>45381</v>
      </c>
      <c r="N86" s="6">
        <f t="shared" si="4"/>
        <v>13</v>
      </c>
      <c r="O86" s="4" t="s">
        <v>28</v>
      </c>
      <c r="P86" s="4">
        <v>4035.29</v>
      </c>
      <c r="Q86" s="4"/>
      <c r="R86" s="4" t="str">
        <f t="shared" si="5"/>
        <v>2024</v>
      </c>
      <c r="S86" s="4" t="str">
        <f t="shared" si="6"/>
        <v>March</v>
      </c>
      <c r="T86" s="4">
        <f t="shared" si="7"/>
        <v>4035.29</v>
      </c>
      <c r="U86" s="4"/>
      <c r="W86" s="4"/>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row>
    <row r="87" spans="1:53" ht="19.95" customHeight="1">
      <c r="A87" s="4">
        <v>86</v>
      </c>
      <c r="B87" s="4" t="s">
        <v>292</v>
      </c>
      <c r="C87" s="4" t="s">
        <v>65</v>
      </c>
      <c r="D87" s="4" t="s">
        <v>21</v>
      </c>
      <c r="E87" s="4" t="s">
        <v>39</v>
      </c>
      <c r="F87" s="4" t="s">
        <v>293</v>
      </c>
      <c r="G87" s="4" t="s">
        <v>24</v>
      </c>
      <c r="H87" s="4" t="s">
        <v>294</v>
      </c>
      <c r="I87" s="4" t="s">
        <v>295</v>
      </c>
      <c r="J87" s="4" t="s">
        <v>296</v>
      </c>
      <c r="K87" s="5">
        <v>45229</v>
      </c>
      <c r="L87" s="5">
        <v>45278</v>
      </c>
      <c r="M87" s="5">
        <v>45299</v>
      </c>
      <c r="N87" s="6">
        <f t="shared" si="4"/>
        <v>21</v>
      </c>
      <c r="O87" s="4" t="s">
        <v>28</v>
      </c>
      <c r="P87" s="4">
        <v>10664.5</v>
      </c>
      <c r="Q87" s="4"/>
      <c r="R87" s="4" t="str">
        <f t="shared" si="5"/>
        <v>2023</v>
      </c>
      <c r="S87" s="4" t="str">
        <f t="shared" si="6"/>
        <v>December</v>
      </c>
      <c r="T87" s="4">
        <f t="shared" si="7"/>
        <v>10664.5</v>
      </c>
      <c r="U87" s="4"/>
      <c r="W87" s="4"/>
      <c r="X87" s="4"/>
      <c r="Y87" s="4"/>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row>
    <row r="88" spans="1:53" ht="19.95" customHeight="1">
      <c r="A88" s="4">
        <v>87</v>
      </c>
      <c r="B88" s="4" t="s">
        <v>297</v>
      </c>
      <c r="C88" s="4" t="s">
        <v>20</v>
      </c>
      <c r="D88" s="4" t="s">
        <v>21</v>
      </c>
      <c r="E88" s="4" t="s">
        <v>22</v>
      </c>
      <c r="F88" s="4" t="s">
        <v>48</v>
      </c>
      <c r="G88" s="4" t="s">
        <v>24</v>
      </c>
      <c r="H88" s="4" t="s">
        <v>49</v>
      </c>
      <c r="I88" s="4" t="s">
        <v>298</v>
      </c>
      <c r="J88" s="4" t="s">
        <v>299</v>
      </c>
      <c r="K88" s="5">
        <v>45229</v>
      </c>
      <c r="L88" s="5">
        <v>45232</v>
      </c>
      <c r="M88" s="5">
        <v>45240</v>
      </c>
      <c r="N88" s="6">
        <f t="shared" si="4"/>
        <v>8</v>
      </c>
      <c r="O88" s="4" t="s">
        <v>28</v>
      </c>
      <c r="P88" s="4">
        <v>552</v>
      </c>
      <c r="Q88" s="4"/>
      <c r="R88" s="4" t="str">
        <f t="shared" si="5"/>
        <v>2023</v>
      </c>
      <c r="S88" s="4" t="str">
        <f t="shared" si="6"/>
        <v>November</v>
      </c>
      <c r="T88" s="4">
        <f t="shared" si="7"/>
        <v>552</v>
      </c>
      <c r="U88" s="4"/>
      <c r="W88" s="4"/>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row>
    <row r="89" spans="1:53" ht="19.95" customHeight="1">
      <c r="A89" s="4">
        <v>88</v>
      </c>
      <c r="B89" s="4" t="s">
        <v>300</v>
      </c>
      <c r="C89" s="4" t="s">
        <v>20</v>
      </c>
      <c r="D89" s="4" t="s">
        <v>301</v>
      </c>
      <c r="E89" s="4" t="s">
        <v>22</v>
      </c>
      <c r="F89" s="4" t="s">
        <v>24</v>
      </c>
      <c r="G89" s="4" t="s">
        <v>24</v>
      </c>
      <c r="H89" s="4" t="s">
        <v>200</v>
      </c>
      <c r="I89" s="4" t="s">
        <v>302</v>
      </c>
      <c r="J89" s="4" t="s">
        <v>303</v>
      </c>
      <c r="K89" s="5">
        <v>45229</v>
      </c>
      <c r="L89" s="5">
        <v>45236</v>
      </c>
      <c r="M89" s="5">
        <v>45238</v>
      </c>
      <c r="N89" s="6">
        <f t="shared" si="4"/>
        <v>2</v>
      </c>
      <c r="O89" s="4" t="s">
        <v>28</v>
      </c>
      <c r="P89" s="4">
        <v>380</v>
      </c>
      <c r="Q89" s="4"/>
      <c r="R89" s="4" t="str">
        <f t="shared" si="5"/>
        <v>2023</v>
      </c>
      <c r="S89" s="4" t="str">
        <f t="shared" si="6"/>
        <v>November</v>
      </c>
      <c r="T89" s="4">
        <f t="shared" si="7"/>
        <v>380</v>
      </c>
      <c r="U89" s="4"/>
      <c r="W89" s="4"/>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row>
    <row r="90" spans="1:53" ht="19.95" customHeight="1">
      <c r="A90" s="4">
        <v>89</v>
      </c>
      <c r="B90" s="4" t="s">
        <v>304</v>
      </c>
      <c r="C90" s="4" t="s">
        <v>20</v>
      </c>
      <c r="D90" s="4" t="s">
        <v>56</v>
      </c>
      <c r="E90" s="4" t="s">
        <v>39</v>
      </c>
      <c r="F90" s="4" t="s">
        <v>23</v>
      </c>
      <c r="G90" s="4" t="s">
        <v>24</v>
      </c>
      <c r="H90" s="4" t="s">
        <v>25</v>
      </c>
      <c r="I90" s="4" t="s">
        <v>305</v>
      </c>
      <c r="J90" s="4" t="s">
        <v>306</v>
      </c>
      <c r="K90" s="5">
        <v>45227</v>
      </c>
      <c r="L90" s="5">
        <v>45256</v>
      </c>
      <c r="M90" s="5">
        <v>45271</v>
      </c>
      <c r="N90" s="6">
        <f t="shared" si="4"/>
        <v>15</v>
      </c>
      <c r="O90" s="4" t="s">
        <v>28</v>
      </c>
      <c r="P90" s="4">
        <v>7241.61</v>
      </c>
      <c r="Q90" s="4"/>
      <c r="R90" s="4" t="str">
        <f t="shared" si="5"/>
        <v>2023</v>
      </c>
      <c r="S90" s="4" t="str">
        <f t="shared" si="6"/>
        <v>November</v>
      </c>
      <c r="T90" s="4">
        <f t="shared" si="7"/>
        <v>7241.61</v>
      </c>
      <c r="U90" s="4"/>
      <c r="W90" s="4"/>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row>
    <row r="91" spans="1:53" ht="19.95" customHeight="1">
      <c r="A91" s="4">
        <v>90</v>
      </c>
      <c r="B91" s="4" t="s">
        <v>307</v>
      </c>
      <c r="C91" s="4" t="s">
        <v>20</v>
      </c>
      <c r="D91" s="4" t="s">
        <v>21</v>
      </c>
      <c r="E91" s="4" t="s">
        <v>31</v>
      </c>
      <c r="F91" s="4" t="s">
        <v>23</v>
      </c>
      <c r="G91" s="4" t="s">
        <v>24</v>
      </c>
      <c r="H91" s="4" t="s">
        <v>25</v>
      </c>
      <c r="I91" s="4" t="s">
        <v>308</v>
      </c>
      <c r="J91" s="4" t="s">
        <v>309</v>
      </c>
      <c r="K91" s="5">
        <v>45223</v>
      </c>
      <c r="L91" s="5">
        <v>45323</v>
      </c>
      <c r="M91" s="5">
        <v>45338</v>
      </c>
      <c r="N91" s="6">
        <f t="shared" si="4"/>
        <v>15</v>
      </c>
      <c r="O91" s="4" t="s">
        <v>28</v>
      </c>
      <c r="P91" s="4">
        <v>12848.12</v>
      </c>
      <c r="Q91" s="4"/>
      <c r="R91" s="4" t="str">
        <f t="shared" si="5"/>
        <v>2024</v>
      </c>
      <c r="S91" s="4" t="str">
        <f t="shared" si="6"/>
        <v>February</v>
      </c>
      <c r="T91" s="4">
        <f t="shared" si="7"/>
        <v>12848.12</v>
      </c>
      <c r="U91" s="4"/>
      <c r="W91" s="4"/>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row>
    <row r="92" spans="1:53" ht="19.95" customHeight="1">
      <c r="A92" s="4">
        <v>91</v>
      </c>
      <c r="B92" s="4" t="s">
        <v>310</v>
      </c>
      <c r="C92" s="4" t="s">
        <v>65</v>
      </c>
      <c r="D92" s="4" t="s">
        <v>21</v>
      </c>
      <c r="E92" s="4" t="s">
        <v>39</v>
      </c>
      <c r="F92" s="4" t="s">
        <v>48</v>
      </c>
      <c r="G92" s="4" t="s">
        <v>24</v>
      </c>
      <c r="H92" s="4" t="s">
        <v>49</v>
      </c>
      <c r="I92" s="4" t="s">
        <v>311</v>
      </c>
      <c r="J92" s="4" t="s">
        <v>312</v>
      </c>
      <c r="K92" s="5">
        <v>45222</v>
      </c>
      <c r="L92" s="5">
        <v>45252</v>
      </c>
      <c r="M92" s="5">
        <v>45265</v>
      </c>
      <c r="N92" s="6">
        <f t="shared" si="4"/>
        <v>13</v>
      </c>
      <c r="O92" s="4" t="s">
        <v>28</v>
      </c>
      <c r="P92" s="4">
        <v>6980.21</v>
      </c>
      <c r="Q92" s="4"/>
      <c r="R92" s="4" t="str">
        <f t="shared" si="5"/>
        <v>2023</v>
      </c>
      <c r="S92" s="4" t="str">
        <f t="shared" si="6"/>
        <v>November</v>
      </c>
      <c r="T92" s="4">
        <f t="shared" si="7"/>
        <v>6980.21</v>
      </c>
      <c r="U92" s="4"/>
      <c r="W92" s="4"/>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row>
    <row r="93" spans="1:53" ht="19.95" customHeight="1">
      <c r="A93" s="4">
        <v>92</v>
      </c>
      <c r="B93" s="4" t="s">
        <v>313</v>
      </c>
      <c r="C93" s="4" t="s">
        <v>20</v>
      </c>
      <c r="D93" s="4" t="s">
        <v>21</v>
      </c>
      <c r="E93" s="4" t="s">
        <v>39</v>
      </c>
      <c r="F93" s="4" t="s">
        <v>23</v>
      </c>
      <c r="G93" s="4" t="s">
        <v>24</v>
      </c>
      <c r="H93" s="4" t="s">
        <v>25</v>
      </c>
      <c r="I93" s="4" t="s">
        <v>314</v>
      </c>
      <c r="J93" s="4" t="s">
        <v>315</v>
      </c>
      <c r="K93" s="5">
        <v>45219</v>
      </c>
      <c r="L93" s="5">
        <v>45338</v>
      </c>
      <c r="M93" s="5">
        <v>45344</v>
      </c>
      <c r="N93" s="6">
        <f t="shared" si="4"/>
        <v>6</v>
      </c>
      <c r="O93" s="4" t="s">
        <v>28</v>
      </c>
      <c r="P93" s="4">
        <v>2728.17</v>
      </c>
      <c r="Q93" s="4"/>
      <c r="R93" s="4" t="str">
        <f t="shared" si="5"/>
        <v>2024</v>
      </c>
      <c r="S93" s="4" t="str">
        <f t="shared" si="6"/>
        <v>February</v>
      </c>
      <c r="T93" s="4">
        <f t="shared" si="7"/>
        <v>2728.17</v>
      </c>
      <c r="U93" s="4"/>
      <c r="W93" s="4"/>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row>
    <row r="94" spans="1:53" ht="19.95" customHeight="1">
      <c r="A94" s="4">
        <v>93</v>
      </c>
      <c r="B94" s="4" t="s">
        <v>316</v>
      </c>
      <c r="C94" s="4" t="s">
        <v>20</v>
      </c>
      <c r="D94" s="4" t="s">
        <v>21</v>
      </c>
      <c r="E94" s="4" t="s">
        <v>39</v>
      </c>
      <c r="F94" s="4" t="s">
        <v>23</v>
      </c>
      <c r="G94" s="4" t="s">
        <v>24</v>
      </c>
      <c r="H94" s="4" t="s">
        <v>25</v>
      </c>
      <c r="I94" s="4" t="s">
        <v>317</v>
      </c>
      <c r="J94" s="4" t="s">
        <v>318</v>
      </c>
      <c r="K94" s="5">
        <v>45219</v>
      </c>
      <c r="L94" s="5">
        <v>45339</v>
      </c>
      <c r="M94" s="5">
        <v>45352</v>
      </c>
      <c r="N94" s="6">
        <f t="shared" si="4"/>
        <v>13</v>
      </c>
      <c r="O94" s="4" t="s">
        <v>28</v>
      </c>
      <c r="P94" s="4">
        <v>10980.17</v>
      </c>
      <c r="Q94" s="4"/>
      <c r="R94" s="4" t="str">
        <f t="shared" si="5"/>
        <v>2024</v>
      </c>
      <c r="S94" s="4" t="str">
        <f t="shared" si="6"/>
        <v>February</v>
      </c>
      <c r="T94" s="4">
        <f t="shared" si="7"/>
        <v>10980.17</v>
      </c>
      <c r="U94" s="4"/>
      <c r="W94" s="4"/>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row>
    <row r="95" spans="1:53" ht="19.95" customHeight="1">
      <c r="A95" s="4">
        <v>94</v>
      </c>
      <c r="B95" s="4" t="s">
        <v>319</v>
      </c>
      <c r="C95" s="4" t="s">
        <v>20</v>
      </c>
      <c r="D95" s="4" t="s">
        <v>21</v>
      </c>
      <c r="E95" s="4" t="s">
        <v>22</v>
      </c>
      <c r="F95" s="4" t="s">
        <v>320</v>
      </c>
      <c r="G95" s="4" t="s">
        <v>24</v>
      </c>
      <c r="H95" s="4" t="s">
        <v>321</v>
      </c>
      <c r="I95" s="4" t="s">
        <v>322</v>
      </c>
      <c r="J95" s="4" t="s">
        <v>323</v>
      </c>
      <c r="K95" s="5">
        <v>45217</v>
      </c>
      <c r="L95" s="5">
        <v>45223</v>
      </c>
      <c r="M95" s="5">
        <v>45227</v>
      </c>
      <c r="N95" s="6">
        <f t="shared" si="4"/>
        <v>4</v>
      </c>
      <c r="O95" s="4" t="s">
        <v>28</v>
      </c>
      <c r="P95" s="4">
        <v>549</v>
      </c>
      <c r="Q95" s="4"/>
      <c r="R95" s="4" t="str">
        <f t="shared" si="5"/>
        <v>2023</v>
      </c>
      <c r="S95" s="4" t="str">
        <f t="shared" si="6"/>
        <v>October</v>
      </c>
      <c r="T95" s="4">
        <f t="shared" si="7"/>
        <v>549</v>
      </c>
      <c r="U95" s="4"/>
      <c r="W95" s="4"/>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row>
    <row r="96" spans="1:53" ht="19.95" customHeight="1">
      <c r="A96" s="4">
        <v>95</v>
      </c>
      <c r="B96" s="4" t="s">
        <v>324</v>
      </c>
      <c r="C96" s="4" t="s">
        <v>65</v>
      </c>
      <c r="D96" s="4" t="s">
        <v>21</v>
      </c>
      <c r="E96" s="4" t="s">
        <v>325</v>
      </c>
      <c r="F96" s="4" t="s">
        <v>326</v>
      </c>
      <c r="G96" s="4" t="s">
        <v>24</v>
      </c>
      <c r="H96" s="4" t="s">
        <v>327</v>
      </c>
      <c r="I96" s="4" t="s">
        <v>328</v>
      </c>
      <c r="J96" s="4" t="s">
        <v>329</v>
      </c>
      <c r="K96" s="5">
        <v>45216</v>
      </c>
      <c r="L96" s="5">
        <v>45286</v>
      </c>
      <c r="M96" s="5">
        <v>45296</v>
      </c>
      <c r="N96" s="6">
        <f t="shared" si="4"/>
        <v>10</v>
      </c>
      <c r="O96" s="4" t="s">
        <v>28</v>
      </c>
      <c r="P96" s="4">
        <v>10305.35</v>
      </c>
      <c r="Q96" s="4"/>
      <c r="R96" s="4" t="str">
        <f t="shared" si="5"/>
        <v>2023</v>
      </c>
      <c r="S96" s="4" t="str">
        <f t="shared" si="6"/>
        <v>December</v>
      </c>
      <c r="T96" s="4">
        <f t="shared" si="7"/>
        <v>10305.35</v>
      </c>
      <c r="U96" s="4"/>
      <c r="W96" s="4"/>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row>
    <row r="97" spans="1:53" ht="19.95" customHeight="1">
      <c r="A97" s="4">
        <v>96</v>
      </c>
      <c r="B97" s="4" t="s">
        <v>330</v>
      </c>
      <c r="C97" s="4" t="s">
        <v>20</v>
      </c>
      <c r="D97" s="4" t="s">
        <v>30</v>
      </c>
      <c r="E97" s="4" t="s">
        <v>76</v>
      </c>
      <c r="F97" s="4" t="s">
        <v>23</v>
      </c>
      <c r="G97" s="4" t="s">
        <v>24</v>
      </c>
      <c r="H97" s="4" t="s">
        <v>25</v>
      </c>
      <c r="I97" s="4" t="s">
        <v>332</v>
      </c>
      <c r="J97" s="4" t="s">
        <v>333</v>
      </c>
      <c r="K97" s="5">
        <v>45215</v>
      </c>
      <c r="L97" s="5">
        <v>45206</v>
      </c>
      <c r="M97" s="5">
        <v>45341</v>
      </c>
      <c r="N97" s="6">
        <f t="shared" si="4"/>
        <v>135</v>
      </c>
      <c r="O97" s="4" t="s">
        <v>334</v>
      </c>
      <c r="P97" s="4">
        <v>8891.3700000000008</v>
      </c>
      <c r="Q97" s="4"/>
      <c r="R97" s="4" t="str">
        <f t="shared" si="5"/>
        <v>2023</v>
      </c>
      <c r="S97" s="4" t="str">
        <f t="shared" si="6"/>
        <v>October</v>
      </c>
      <c r="T97" s="4">
        <f t="shared" si="7"/>
        <v>8891.3700000000008</v>
      </c>
      <c r="U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row>
    <row r="98" spans="1:53" ht="19.95" customHeight="1">
      <c r="A98" s="4">
        <v>97</v>
      </c>
      <c r="B98" s="4" t="s">
        <v>335</v>
      </c>
      <c r="C98" s="4" t="s">
        <v>20</v>
      </c>
      <c r="D98" s="4" t="s">
        <v>38</v>
      </c>
      <c r="E98" s="4" t="s">
        <v>22</v>
      </c>
      <c r="F98" s="4" t="s">
        <v>23</v>
      </c>
      <c r="G98" s="4" t="s">
        <v>223</v>
      </c>
      <c r="H98" s="4" t="s">
        <v>25</v>
      </c>
      <c r="I98" s="4" t="s">
        <v>336</v>
      </c>
      <c r="J98" s="4" t="s">
        <v>337</v>
      </c>
      <c r="K98" s="5">
        <v>45215</v>
      </c>
      <c r="L98" s="5">
        <v>45348</v>
      </c>
      <c r="M98" s="5">
        <v>45348</v>
      </c>
      <c r="N98" s="6">
        <f t="shared" si="4"/>
        <v>0</v>
      </c>
      <c r="O98" s="4" t="s">
        <v>28</v>
      </c>
      <c r="P98" s="4">
        <v>14320</v>
      </c>
      <c r="Q98" s="4"/>
      <c r="R98" s="4" t="str">
        <f t="shared" si="5"/>
        <v>2024</v>
      </c>
      <c r="S98" s="4" t="str">
        <f t="shared" si="6"/>
        <v>February</v>
      </c>
      <c r="T98" s="4">
        <f t="shared" si="7"/>
        <v>14320</v>
      </c>
      <c r="U98" s="4"/>
      <c r="W98" s="4"/>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row>
    <row r="99" spans="1:53" ht="19.95" customHeight="1">
      <c r="A99" s="4">
        <v>98</v>
      </c>
      <c r="B99" s="4" t="s">
        <v>338</v>
      </c>
      <c r="C99" s="4" t="s">
        <v>65</v>
      </c>
      <c r="D99" s="4" t="s">
        <v>56</v>
      </c>
      <c r="E99" s="4" t="s">
        <v>31</v>
      </c>
      <c r="F99" s="4" t="s">
        <v>23</v>
      </c>
      <c r="G99" s="4" t="s">
        <v>24</v>
      </c>
      <c r="H99" s="4" t="s">
        <v>25</v>
      </c>
      <c r="I99" s="4" t="s">
        <v>339</v>
      </c>
      <c r="J99" s="4" t="s">
        <v>340</v>
      </c>
      <c r="K99" s="5">
        <v>45213</v>
      </c>
      <c r="L99" s="5">
        <v>45322</v>
      </c>
      <c r="M99" s="5">
        <v>45338</v>
      </c>
      <c r="N99" s="6">
        <f t="shared" si="4"/>
        <v>16</v>
      </c>
      <c r="O99" s="4" t="s">
        <v>28</v>
      </c>
      <c r="P99" s="4">
        <v>29820.99</v>
      </c>
      <c r="Q99" s="4"/>
      <c r="R99" s="4" t="str">
        <f t="shared" si="5"/>
        <v>2024</v>
      </c>
      <c r="S99" s="4" t="str">
        <f t="shared" si="6"/>
        <v>January</v>
      </c>
      <c r="T99" s="4">
        <f t="shared" si="7"/>
        <v>29820.99</v>
      </c>
      <c r="U99" s="4"/>
      <c r="W99" s="4"/>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row>
    <row r="100" spans="1:53" ht="19.95" customHeight="1">
      <c r="A100" s="4">
        <v>99</v>
      </c>
      <c r="B100" s="4" t="s">
        <v>341</v>
      </c>
      <c r="C100" s="4" t="s">
        <v>20</v>
      </c>
      <c r="D100" s="4" t="s">
        <v>21</v>
      </c>
      <c r="E100" s="4" t="s">
        <v>22</v>
      </c>
      <c r="F100" s="4" t="s">
        <v>23</v>
      </c>
      <c r="G100" s="4" t="s">
        <v>24</v>
      </c>
      <c r="H100" s="4" t="s">
        <v>25</v>
      </c>
      <c r="I100" s="4" t="s">
        <v>342</v>
      </c>
      <c r="J100" s="4" t="s">
        <v>343</v>
      </c>
      <c r="K100" s="5">
        <v>45212</v>
      </c>
      <c r="L100" s="5">
        <v>45319</v>
      </c>
      <c r="M100" s="5">
        <v>45334</v>
      </c>
      <c r="N100" s="6">
        <f t="shared" si="4"/>
        <v>15</v>
      </c>
      <c r="O100" s="4" t="s">
        <v>28</v>
      </c>
      <c r="P100" s="4">
        <v>8183.85</v>
      </c>
      <c r="Q100" s="4"/>
      <c r="R100" s="4" t="str">
        <f t="shared" si="5"/>
        <v>2024</v>
      </c>
      <c r="S100" s="4" t="str">
        <f t="shared" si="6"/>
        <v>January</v>
      </c>
      <c r="T100" s="4">
        <f t="shared" si="7"/>
        <v>8183.85</v>
      </c>
      <c r="U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row>
    <row r="101" spans="1:53" ht="19.95" customHeight="1">
      <c r="A101" s="4">
        <v>100</v>
      </c>
      <c r="B101" s="4" t="s">
        <v>344</v>
      </c>
      <c r="C101" s="4" t="s">
        <v>65</v>
      </c>
      <c r="D101" s="4" t="s">
        <v>56</v>
      </c>
      <c r="E101" s="4" t="s">
        <v>345</v>
      </c>
      <c r="F101" s="4" t="s">
        <v>23</v>
      </c>
      <c r="G101" s="4" t="s">
        <v>24</v>
      </c>
      <c r="H101" s="4" t="s">
        <v>346</v>
      </c>
      <c r="I101" s="4" t="s">
        <v>347</v>
      </c>
      <c r="J101" s="4" t="s">
        <v>348</v>
      </c>
      <c r="K101" s="5">
        <v>45211</v>
      </c>
      <c r="L101" s="5">
        <v>45286</v>
      </c>
      <c r="M101" s="5">
        <v>45294</v>
      </c>
      <c r="N101" s="6">
        <f t="shared" si="4"/>
        <v>8</v>
      </c>
      <c r="O101" s="4" t="s">
        <v>28</v>
      </c>
      <c r="P101" s="4">
        <v>4450</v>
      </c>
      <c r="Q101" s="4"/>
      <c r="R101" s="4" t="str">
        <f t="shared" si="5"/>
        <v>2023</v>
      </c>
      <c r="S101" s="4" t="str">
        <f t="shared" si="6"/>
        <v>December</v>
      </c>
      <c r="T101" s="4">
        <f t="shared" si="7"/>
        <v>4450</v>
      </c>
      <c r="U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row>
    <row r="102" spans="1:53" ht="19.95" customHeight="1">
      <c r="A102" s="4">
        <v>101</v>
      </c>
      <c r="B102" s="4" t="s">
        <v>349</v>
      </c>
      <c r="C102" s="4" t="s">
        <v>20</v>
      </c>
      <c r="D102" s="4" t="s">
        <v>38</v>
      </c>
      <c r="E102" s="4" t="s">
        <v>22</v>
      </c>
      <c r="F102" s="4" t="s">
        <v>23</v>
      </c>
      <c r="G102" s="4" t="s">
        <v>24</v>
      </c>
      <c r="H102" s="4" t="s">
        <v>25</v>
      </c>
      <c r="I102" s="4" t="s">
        <v>350</v>
      </c>
      <c r="J102" s="4" t="s">
        <v>351</v>
      </c>
      <c r="K102" s="5">
        <v>45211</v>
      </c>
      <c r="L102" s="5">
        <v>45329</v>
      </c>
      <c r="M102" s="5">
        <v>45341</v>
      </c>
      <c r="N102" s="6">
        <f t="shared" si="4"/>
        <v>12</v>
      </c>
      <c r="O102" s="4" t="s">
        <v>28</v>
      </c>
      <c r="P102" s="4">
        <v>5049.7299999999996</v>
      </c>
      <c r="Q102" s="4"/>
      <c r="R102" s="4" t="str">
        <f t="shared" si="5"/>
        <v>2024</v>
      </c>
      <c r="S102" s="4" t="str">
        <f t="shared" si="6"/>
        <v>February</v>
      </c>
      <c r="T102" s="4">
        <f t="shared" si="7"/>
        <v>5049.7299999999996</v>
      </c>
      <c r="U102" s="4"/>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row>
    <row r="103" spans="1:53" ht="19.95" customHeight="1">
      <c r="A103" s="4">
        <v>102</v>
      </c>
      <c r="B103" s="4" t="s">
        <v>352</v>
      </c>
      <c r="C103" s="4" t="s">
        <v>65</v>
      </c>
      <c r="D103" s="4" t="s">
        <v>56</v>
      </c>
      <c r="E103" s="4" t="s">
        <v>22</v>
      </c>
      <c r="F103" s="4" t="s">
        <v>23</v>
      </c>
      <c r="G103" s="4" t="s">
        <v>24</v>
      </c>
      <c r="H103" s="4" t="s">
        <v>25</v>
      </c>
      <c r="I103" s="4" t="s">
        <v>353</v>
      </c>
      <c r="J103" s="4" t="s">
        <v>354</v>
      </c>
      <c r="K103" s="5">
        <v>45210</v>
      </c>
      <c r="L103" s="5">
        <v>45282</v>
      </c>
      <c r="M103" s="5">
        <v>45295</v>
      </c>
      <c r="N103" s="6">
        <f t="shared" si="4"/>
        <v>13</v>
      </c>
      <c r="O103" s="4" t="s">
        <v>28</v>
      </c>
      <c r="P103" s="4">
        <v>64773.27</v>
      </c>
      <c r="Q103" s="4"/>
      <c r="R103" s="4" t="str">
        <f t="shared" si="5"/>
        <v>2023</v>
      </c>
      <c r="S103" s="4" t="str">
        <f t="shared" si="6"/>
        <v>December</v>
      </c>
      <c r="T103" s="4">
        <f t="shared" si="7"/>
        <v>64773.27</v>
      </c>
      <c r="U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row>
    <row r="104" spans="1:53" ht="19.95" customHeight="1">
      <c r="A104" s="4">
        <v>103</v>
      </c>
      <c r="B104" s="4" t="s">
        <v>355</v>
      </c>
      <c r="C104" s="4" t="s">
        <v>20</v>
      </c>
      <c r="D104" s="4" t="s">
        <v>356</v>
      </c>
      <c r="E104" s="4" t="s">
        <v>39</v>
      </c>
      <c r="F104" s="4" t="s">
        <v>23</v>
      </c>
      <c r="G104" s="4" t="s">
        <v>24</v>
      </c>
      <c r="H104" s="4" t="s">
        <v>25</v>
      </c>
      <c r="I104" s="4" t="s">
        <v>40</v>
      </c>
      <c r="J104" s="4" t="s">
        <v>41</v>
      </c>
      <c r="K104" s="5">
        <v>45210</v>
      </c>
      <c r="L104" s="5">
        <v>45279</v>
      </c>
      <c r="M104" s="5">
        <v>45338</v>
      </c>
      <c r="N104" s="6">
        <f t="shared" si="4"/>
        <v>59</v>
      </c>
      <c r="O104" s="4" t="s">
        <v>28</v>
      </c>
      <c r="P104" s="4">
        <v>9916.74</v>
      </c>
      <c r="Q104" s="4"/>
      <c r="R104" s="4" t="str">
        <f t="shared" si="5"/>
        <v>2023</v>
      </c>
      <c r="S104" s="4" t="str">
        <f t="shared" si="6"/>
        <v>December</v>
      </c>
      <c r="T104" s="4">
        <f t="shared" si="7"/>
        <v>9916.74</v>
      </c>
      <c r="U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row>
    <row r="105" spans="1:53" ht="19.95" customHeight="1">
      <c r="A105" s="4">
        <v>104</v>
      </c>
      <c r="B105" s="4" t="s">
        <v>357</v>
      </c>
      <c r="C105" s="4" t="s">
        <v>20</v>
      </c>
      <c r="D105" s="4" t="s">
        <v>21</v>
      </c>
      <c r="E105" s="4" t="s">
        <v>39</v>
      </c>
      <c r="F105" s="4" t="s">
        <v>23</v>
      </c>
      <c r="G105" s="4" t="s">
        <v>24</v>
      </c>
      <c r="H105" s="4" t="s">
        <v>25</v>
      </c>
      <c r="I105" s="4" t="s">
        <v>358</v>
      </c>
      <c r="J105" s="4" t="s">
        <v>359</v>
      </c>
      <c r="K105" s="5">
        <v>45209</v>
      </c>
      <c r="L105" s="5">
        <v>45308</v>
      </c>
      <c r="M105" s="5">
        <v>45322</v>
      </c>
      <c r="N105" s="6">
        <f t="shared" si="4"/>
        <v>14</v>
      </c>
      <c r="O105" s="4" t="s">
        <v>28</v>
      </c>
      <c r="P105" s="4">
        <v>9326.85</v>
      </c>
      <c r="Q105" s="4"/>
      <c r="R105" s="4" t="str">
        <f t="shared" si="5"/>
        <v>2024</v>
      </c>
      <c r="S105" s="4" t="str">
        <f t="shared" si="6"/>
        <v>January</v>
      </c>
      <c r="T105" s="4">
        <f t="shared" si="7"/>
        <v>9326.85</v>
      </c>
      <c r="U105" s="4"/>
      <c r="W105" s="4"/>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row>
    <row r="106" spans="1:53" ht="19.95" customHeight="1">
      <c r="A106" s="4">
        <v>105</v>
      </c>
      <c r="B106" s="4" t="s">
        <v>360</v>
      </c>
      <c r="C106" s="4" t="s">
        <v>20</v>
      </c>
      <c r="D106" s="4" t="s">
        <v>21</v>
      </c>
      <c r="E106" s="4" t="s">
        <v>22</v>
      </c>
      <c r="F106" s="4" t="s">
        <v>23</v>
      </c>
      <c r="G106" s="4" t="s">
        <v>24</v>
      </c>
      <c r="H106" s="4" t="s">
        <v>25</v>
      </c>
      <c r="I106" s="4" t="s">
        <v>361</v>
      </c>
      <c r="J106" s="4" t="s">
        <v>362</v>
      </c>
      <c r="K106" s="5">
        <v>45208</v>
      </c>
      <c r="L106" s="5">
        <v>45316</v>
      </c>
      <c r="M106" s="5">
        <v>45330</v>
      </c>
      <c r="N106" s="6">
        <f t="shared" si="4"/>
        <v>14</v>
      </c>
      <c r="O106" s="4" t="s">
        <v>28</v>
      </c>
      <c r="P106" s="4">
        <v>18919.91</v>
      </c>
      <c r="Q106" s="4"/>
      <c r="R106" s="4" t="str">
        <f t="shared" si="5"/>
        <v>2024</v>
      </c>
      <c r="S106" s="4" t="str">
        <f t="shared" si="6"/>
        <v>January</v>
      </c>
      <c r="T106" s="4">
        <f t="shared" si="7"/>
        <v>18919.91</v>
      </c>
      <c r="U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row>
    <row r="107" spans="1:53" ht="19.95" customHeight="1">
      <c r="A107" s="4">
        <v>106</v>
      </c>
      <c r="B107" s="4" t="s">
        <v>363</v>
      </c>
      <c r="C107" s="4" t="s">
        <v>65</v>
      </c>
      <c r="D107" s="4" t="s">
        <v>75</v>
      </c>
      <c r="E107" s="4" t="s">
        <v>76</v>
      </c>
      <c r="F107" s="4" t="s">
        <v>43</v>
      </c>
      <c r="G107" s="4" t="s">
        <v>24</v>
      </c>
      <c r="H107" s="4" t="s">
        <v>44</v>
      </c>
      <c r="I107" s="4" t="s">
        <v>364</v>
      </c>
      <c r="J107" s="4" t="s">
        <v>365</v>
      </c>
      <c r="K107" s="5">
        <v>45208</v>
      </c>
      <c r="L107" s="5">
        <v>45311</v>
      </c>
      <c r="M107" s="5">
        <v>45333</v>
      </c>
      <c r="N107" s="6">
        <f t="shared" si="4"/>
        <v>22</v>
      </c>
      <c r="O107" s="4" t="s">
        <v>28</v>
      </c>
      <c r="P107" s="4">
        <v>33764.14</v>
      </c>
      <c r="Q107" s="4"/>
      <c r="R107" s="4" t="str">
        <f t="shared" si="5"/>
        <v>2024</v>
      </c>
      <c r="S107" s="4" t="str">
        <f t="shared" si="6"/>
        <v>January</v>
      </c>
      <c r="T107" s="4">
        <f t="shared" si="7"/>
        <v>33764.14</v>
      </c>
      <c r="U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row>
    <row r="108" spans="1:53" ht="19.95" customHeight="1">
      <c r="A108" s="4">
        <v>107</v>
      </c>
      <c r="B108" s="4" t="s">
        <v>366</v>
      </c>
      <c r="C108" s="4" t="s">
        <v>20</v>
      </c>
      <c r="D108" s="4" t="s">
        <v>21</v>
      </c>
      <c r="E108" s="4" t="s">
        <v>39</v>
      </c>
      <c r="F108" s="4" t="s">
        <v>23</v>
      </c>
      <c r="G108" s="4" t="s">
        <v>24</v>
      </c>
      <c r="H108" s="4" t="s">
        <v>25</v>
      </c>
      <c r="I108" s="4" t="s">
        <v>367</v>
      </c>
      <c r="J108" s="4" t="s">
        <v>368</v>
      </c>
      <c r="K108" s="5">
        <v>45207</v>
      </c>
      <c r="L108" s="5">
        <v>45277</v>
      </c>
      <c r="M108" s="5">
        <v>45290</v>
      </c>
      <c r="N108" s="6">
        <f t="shared" si="4"/>
        <v>13</v>
      </c>
      <c r="O108" s="4" t="s">
        <v>28</v>
      </c>
      <c r="P108" s="4">
        <v>5783.41</v>
      </c>
      <c r="Q108" s="4"/>
      <c r="R108" s="4" t="str">
        <f t="shared" si="5"/>
        <v>2023</v>
      </c>
      <c r="S108" s="4" t="str">
        <f t="shared" si="6"/>
        <v>December</v>
      </c>
      <c r="T108" s="4">
        <f t="shared" si="7"/>
        <v>5783.41</v>
      </c>
      <c r="U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row>
    <row r="109" spans="1:53" ht="19.95" customHeight="1">
      <c r="A109" s="4">
        <v>108</v>
      </c>
      <c r="B109" s="4" t="s">
        <v>369</v>
      </c>
      <c r="C109" s="4" t="s">
        <v>20</v>
      </c>
      <c r="D109" s="4" t="s">
        <v>21</v>
      </c>
      <c r="E109" s="4" t="s">
        <v>22</v>
      </c>
      <c r="F109" s="4" t="s">
        <v>23</v>
      </c>
      <c r="G109" s="4" t="s">
        <v>24</v>
      </c>
      <c r="H109" s="4" t="s">
        <v>25</v>
      </c>
      <c r="I109" s="4" t="s">
        <v>370</v>
      </c>
      <c r="J109" s="4" t="s">
        <v>371</v>
      </c>
      <c r="K109" s="5">
        <v>45206</v>
      </c>
      <c r="L109" s="5">
        <v>45264</v>
      </c>
      <c r="M109" s="5">
        <v>45270</v>
      </c>
      <c r="N109" s="6">
        <f t="shared" si="4"/>
        <v>6</v>
      </c>
      <c r="O109" s="4" t="s">
        <v>28</v>
      </c>
      <c r="P109" s="4">
        <v>1668</v>
      </c>
      <c r="Q109" s="4"/>
      <c r="R109" s="4" t="str">
        <f t="shared" si="5"/>
        <v>2023</v>
      </c>
      <c r="S109" s="4" t="str">
        <f t="shared" si="6"/>
        <v>December</v>
      </c>
      <c r="T109" s="4">
        <f t="shared" si="7"/>
        <v>1668</v>
      </c>
      <c r="U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row>
    <row r="110" spans="1:53" ht="19.95" customHeight="1">
      <c r="A110" s="4">
        <v>109</v>
      </c>
      <c r="B110" s="4" t="s">
        <v>372</v>
      </c>
      <c r="C110" s="4" t="s">
        <v>20</v>
      </c>
      <c r="D110" s="4" t="s">
        <v>21</v>
      </c>
      <c r="E110" s="4" t="s">
        <v>22</v>
      </c>
      <c r="F110" s="4" t="s">
        <v>23</v>
      </c>
      <c r="G110" s="4" t="s">
        <v>24</v>
      </c>
      <c r="H110" s="4" t="s">
        <v>25</v>
      </c>
      <c r="I110" s="4" t="s">
        <v>373</v>
      </c>
      <c r="J110" s="4" t="s">
        <v>374</v>
      </c>
      <c r="K110" s="5">
        <v>45206</v>
      </c>
      <c r="L110" s="5">
        <v>45313</v>
      </c>
      <c r="M110" s="5">
        <v>45324</v>
      </c>
      <c r="N110" s="6">
        <f t="shared" si="4"/>
        <v>11</v>
      </c>
      <c r="O110" s="4" t="s">
        <v>28</v>
      </c>
      <c r="P110" s="4">
        <v>4199.42</v>
      </c>
      <c r="Q110" s="4"/>
      <c r="R110" s="4" t="str">
        <f t="shared" si="5"/>
        <v>2024</v>
      </c>
      <c r="S110" s="4" t="str">
        <f t="shared" si="6"/>
        <v>January</v>
      </c>
      <c r="T110" s="4">
        <f t="shared" si="7"/>
        <v>4199.42</v>
      </c>
      <c r="U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row>
    <row r="111" spans="1:53" ht="19.95" customHeight="1">
      <c r="A111" s="4">
        <v>110</v>
      </c>
      <c r="B111" s="4" t="s">
        <v>375</v>
      </c>
      <c r="C111" s="4" t="s">
        <v>20</v>
      </c>
      <c r="D111" s="4" t="s">
        <v>21</v>
      </c>
      <c r="E111" s="4" t="s">
        <v>39</v>
      </c>
      <c r="F111" s="4" t="s">
        <v>23</v>
      </c>
      <c r="G111" s="4" t="s">
        <v>24</v>
      </c>
      <c r="H111" s="4" t="s">
        <v>25</v>
      </c>
      <c r="I111" s="4" t="s">
        <v>376</v>
      </c>
      <c r="J111" s="4" t="s">
        <v>377</v>
      </c>
      <c r="K111" s="5">
        <v>45204</v>
      </c>
      <c r="L111" s="5">
        <v>45308</v>
      </c>
      <c r="M111" s="5">
        <v>45316</v>
      </c>
      <c r="N111" s="6">
        <f t="shared" si="4"/>
        <v>8</v>
      </c>
      <c r="O111" s="4" t="s">
        <v>28</v>
      </c>
      <c r="P111" s="4">
        <v>3068.67</v>
      </c>
      <c r="Q111" s="4"/>
      <c r="R111" s="4" t="str">
        <f t="shared" si="5"/>
        <v>2024</v>
      </c>
      <c r="S111" s="4" t="str">
        <f t="shared" si="6"/>
        <v>January</v>
      </c>
      <c r="T111" s="4">
        <f t="shared" si="7"/>
        <v>3068.67</v>
      </c>
      <c r="U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row>
    <row r="112" spans="1:53" ht="19.95" customHeight="1">
      <c r="A112" s="4">
        <v>111</v>
      </c>
      <c r="B112" s="4" t="s">
        <v>378</v>
      </c>
      <c r="C112" s="4" t="s">
        <v>20</v>
      </c>
      <c r="D112" s="4" t="s">
        <v>75</v>
      </c>
      <c r="E112" s="4" t="s">
        <v>161</v>
      </c>
      <c r="F112" s="4" t="s">
        <v>23</v>
      </c>
      <c r="G112" s="4" t="s">
        <v>24</v>
      </c>
      <c r="H112" s="4" t="s">
        <v>25</v>
      </c>
      <c r="I112" s="4" t="s">
        <v>379</v>
      </c>
      <c r="J112" s="4" t="s">
        <v>380</v>
      </c>
      <c r="K112" s="5">
        <v>45203</v>
      </c>
      <c r="L112" s="5">
        <v>45309</v>
      </c>
      <c r="M112" s="5">
        <v>45326</v>
      </c>
      <c r="N112" s="6">
        <f t="shared" si="4"/>
        <v>17</v>
      </c>
      <c r="O112" s="4" t="s">
        <v>28</v>
      </c>
      <c r="P112" s="4">
        <v>9478.0400000000009</v>
      </c>
      <c r="Q112" s="4"/>
      <c r="R112" s="4" t="str">
        <f t="shared" si="5"/>
        <v>2024</v>
      </c>
      <c r="S112" s="4" t="str">
        <f t="shared" si="6"/>
        <v>January</v>
      </c>
      <c r="T112" s="4">
        <f t="shared" si="7"/>
        <v>9478.0400000000009</v>
      </c>
      <c r="U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row>
    <row r="113" spans="1:53" ht="19.95" customHeight="1">
      <c r="A113" s="4">
        <v>112</v>
      </c>
      <c r="B113" s="4" t="s">
        <v>381</v>
      </c>
      <c r="C113" s="4" t="s">
        <v>20</v>
      </c>
      <c r="D113" s="4" t="s">
        <v>21</v>
      </c>
      <c r="E113" s="4" t="s">
        <v>39</v>
      </c>
      <c r="F113" s="4" t="s">
        <v>48</v>
      </c>
      <c r="G113" s="4" t="s">
        <v>24</v>
      </c>
      <c r="H113" s="4" t="s">
        <v>49</v>
      </c>
      <c r="I113" s="4" t="s">
        <v>382</v>
      </c>
      <c r="J113" s="4" t="s">
        <v>383</v>
      </c>
      <c r="K113" s="5">
        <v>45202</v>
      </c>
      <c r="L113" s="5">
        <v>45287</v>
      </c>
      <c r="M113" s="5">
        <v>45315</v>
      </c>
      <c r="N113" s="6">
        <f t="shared" si="4"/>
        <v>28</v>
      </c>
      <c r="O113" s="4" t="s">
        <v>28</v>
      </c>
      <c r="P113" s="4">
        <v>11801.92</v>
      </c>
      <c r="Q113" s="4"/>
      <c r="R113" s="4" t="str">
        <f t="shared" si="5"/>
        <v>2023</v>
      </c>
      <c r="S113" s="4" t="str">
        <f t="shared" si="6"/>
        <v>December</v>
      </c>
      <c r="T113" s="4">
        <f t="shared" si="7"/>
        <v>11801.92</v>
      </c>
      <c r="U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row>
    <row r="114" spans="1:53" ht="19.95" customHeight="1">
      <c r="A114" s="4">
        <v>113</v>
      </c>
      <c r="B114" s="4" t="s">
        <v>384</v>
      </c>
      <c r="C114" s="4" t="s">
        <v>20</v>
      </c>
      <c r="D114" s="4" t="s">
        <v>21</v>
      </c>
      <c r="E114" s="4" t="s">
        <v>31</v>
      </c>
      <c r="F114" s="4" t="s">
        <v>23</v>
      </c>
      <c r="G114" s="4" t="s">
        <v>24</v>
      </c>
      <c r="H114" s="4" t="s">
        <v>25</v>
      </c>
      <c r="I114" s="4" t="s">
        <v>385</v>
      </c>
      <c r="J114" s="4" t="s">
        <v>386</v>
      </c>
      <c r="K114" s="5">
        <v>45197</v>
      </c>
      <c r="L114" s="5">
        <v>45283</v>
      </c>
      <c r="M114" s="5">
        <v>45300</v>
      </c>
      <c r="N114" s="6">
        <f t="shared" si="4"/>
        <v>17</v>
      </c>
      <c r="O114" s="4" t="s">
        <v>28</v>
      </c>
      <c r="P114" s="4">
        <v>15263.04</v>
      </c>
      <c r="Q114" s="4"/>
      <c r="R114" s="4" t="str">
        <f t="shared" si="5"/>
        <v>2023</v>
      </c>
      <c r="S114" s="4" t="str">
        <f t="shared" si="6"/>
        <v>December</v>
      </c>
      <c r="T114" s="4">
        <f t="shared" si="7"/>
        <v>15263.04</v>
      </c>
      <c r="U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row>
    <row r="115" spans="1:53" ht="19.95" customHeight="1">
      <c r="A115" s="4">
        <v>114</v>
      </c>
      <c r="B115" s="4" t="s">
        <v>387</v>
      </c>
      <c r="C115" s="4" t="s">
        <v>20</v>
      </c>
      <c r="D115" s="4" t="s">
        <v>21</v>
      </c>
      <c r="E115" s="4" t="s">
        <v>22</v>
      </c>
      <c r="F115" s="4" t="s">
        <v>23</v>
      </c>
      <c r="G115" s="4" t="s">
        <v>24</v>
      </c>
      <c r="H115" s="4" t="s">
        <v>25</v>
      </c>
      <c r="I115" s="4" t="s">
        <v>388</v>
      </c>
      <c r="J115" s="4" t="s">
        <v>389</v>
      </c>
      <c r="K115" s="5">
        <v>45196</v>
      </c>
      <c r="L115" s="5">
        <v>45279</v>
      </c>
      <c r="M115" s="5">
        <v>45288</v>
      </c>
      <c r="N115" s="6">
        <f t="shared" si="4"/>
        <v>9</v>
      </c>
      <c r="O115" s="4" t="s">
        <v>28</v>
      </c>
      <c r="P115" s="4">
        <v>6667.04</v>
      </c>
      <c r="Q115" s="4"/>
      <c r="R115" s="4" t="str">
        <f t="shared" si="5"/>
        <v>2023</v>
      </c>
      <c r="S115" s="4" t="str">
        <f t="shared" si="6"/>
        <v>December</v>
      </c>
      <c r="T115" s="4">
        <f t="shared" si="7"/>
        <v>6667.04</v>
      </c>
      <c r="U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row>
    <row r="116" spans="1:53" ht="19.95" customHeight="1">
      <c r="A116" s="4">
        <v>115</v>
      </c>
      <c r="B116" s="4" t="s">
        <v>390</v>
      </c>
      <c r="C116" s="4" t="s">
        <v>20</v>
      </c>
      <c r="D116" s="4" t="s">
        <v>356</v>
      </c>
      <c r="E116" s="4" t="s">
        <v>39</v>
      </c>
      <c r="F116" s="4" t="s">
        <v>23</v>
      </c>
      <c r="G116" s="4" t="s">
        <v>24</v>
      </c>
      <c r="H116" s="4" t="s">
        <v>25</v>
      </c>
      <c r="I116" s="4" t="s">
        <v>391</v>
      </c>
      <c r="J116" s="4" t="s">
        <v>392</v>
      </c>
      <c r="K116" s="5">
        <v>45196</v>
      </c>
      <c r="L116" s="5">
        <v>45331</v>
      </c>
      <c r="M116" s="5">
        <v>45350</v>
      </c>
      <c r="N116" s="6">
        <f t="shared" si="4"/>
        <v>19</v>
      </c>
      <c r="O116" s="4" t="s">
        <v>28</v>
      </c>
      <c r="P116" s="4">
        <v>25922.49</v>
      </c>
      <c r="Q116" s="4"/>
      <c r="R116" s="4" t="str">
        <f t="shared" si="5"/>
        <v>2024</v>
      </c>
      <c r="S116" s="4" t="str">
        <f t="shared" si="6"/>
        <v>February</v>
      </c>
      <c r="T116" s="4">
        <f t="shared" si="7"/>
        <v>25922.49</v>
      </c>
      <c r="U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row>
    <row r="117" spans="1:53" ht="19.95" customHeight="1">
      <c r="A117" s="4">
        <v>116</v>
      </c>
      <c r="B117" s="4" t="s">
        <v>393</v>
      </c>
      <c r="C117" s="4" t="s">
        <v>65</v>
      </c>
      <c r="D117" s="4" t="s">
        <v>21</v>
      </c>
      <c r="E117" s="4" t="s">
        <v>39</v>
      </c>
      <c r="F117" s="4" t="s">
        <v>43</v>
      </c>
      <c r="G117" s="4" t="s">
        <v>24</v>
      </c>
      <c r="H117" s="4" t="s">
        <v>44</v>
      </c>
      <c r="I117" s="4" t="s">
        <v>394</v>
      </c>
      <c r="J117" s="4" t="s">
        <v>395</v>
      </c>
      <c r="K117" s="5">
        <v>45195</v>
      </c>
      <c r="L117" s="5">
        <v>45325</v>
      </c>
      <c r="M117" s="5">
        <v>45340</v>
      </c>
      <c r="N117" s="6">
        <f t="shared" si="4"/>
        <v>15</v>
      </c>
      <c r="O117" s="4" t="s">
        <v>28</v>
      </c>
      <c r="P117" s="4">
        <v>15214.72</v>
      </c>
      <c r="Q117" s="4"/>
      <c r="R117" s="4" t="str">
        <f t="shared" si="5"/>
        <v>2024</v>
      </c>
      <c r="S117" s="4" t="str">
        <f t="shared" si="6"/>
        <v>February</v>
      </c>
      <c r="T117" s="4">
        <f t="shared" si="7"/>
        <v>15214.72</v>
      </c>
      <c r="U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row>
    <row r="118" spans="1:53" ht="19.95" customHeight="1">
      <c r="A118" s="4">
        <v>117</v>
      </c>
      <c r="B118" s="4" t="s">
        <v>396</v>
      </c>
      <c r="C118" s="4" t="s">
        <v>20</v>
      </c>
      <c r="D118" s="4" t="s">
        <v>38</v>
      </c>
      <c r="E118" s="4" t="s">
        <v>39</v>
      </c>
      <c r="F118" s="4" t="s">
        <v>43</v>
      </c>
      <c r="G118" s="4" t="s">
        <v>24</v>
      </c>
      <c r="H118" s="4" t="s">
        <v>200</v>
      </c>
      <c r="I118" s="4" t="s">
        <v>397</v>
      </c>
      <c r="J118" s="4" t="s">
        <v>398</v>
      </c>
      <c r="K118" s="5">
        <v>45195</v>
      </c>
      <c r="L118" s="5">
        <v>45342</v>
      </c>
      <c r="M118" s="5">
        <v>45345</v>
      </c>
      <c r="N118" s="6">
        <f t="shared" si="4"/>
        <v>3</v>
      </c>
      <c r="O118" s="4" t="s">
        <v>28</v>
      </c>
      <c r="P118" s="4">
        <v>1473.93</v>
      </c>
      <c r="Q118" s="4"/>
      <c r="R118" s="4" t="str">
        <f t="shared" si="5"/>
        <v>2024</v>
      </c>
      <c r="S118" s="4" t="str">
        <f t="shared" si="6"/>
        <v>February</v>
      </c>
      <c r="T118" s="4">
        <f t="shared" si="7"/>
        <v>1473.93</v>
      </c>
      <c r="U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row>
    <row r="119" spans="1:53" ht="19.95" customHeight="1">
      <c r="A119" s="4">
        <v>118</v>
      </c>
      <c r="B119" s="4" t="s">
        <v>399</v>
      </c>
      <c r="C119" s="4" t="s">
        <v>20</v>
      </c>
      <c r="D119" s="4" t="s">
        <v>21</v>
      </c>
      <c r="E119" s="4" t="s">
        <v>39</v>
      </c>
      <c r="F119" s="4" t="s">
        <v>43</v>
      </c>
      <c r="G119" s="4" t="s">
        <v>24</v>
      </c>
      <c r="H119" s="4" t="s">
        <v>44</v>
      </c>
      <c r="I119" s="4" t="s">
        <v>400</v>
      </c>
      <c r="J119" s="4" t="s">
        <v>401</v>
      </c>
      <c r="K119" s="5">
        <v>45191</v>
      </c>
      <c r="L119" s="5">
        <v>45329</v>
      </c>
      <c r="M119" s="5">
        <v>45346</v>
      </c>
      <c r="N119" s="6">
        <f t="shared" si="4"/>
        <v>17</v>
      </c>
      <c r="O119" s="4" t="s">
        <v>28</v>
      </c>
      <c r="P119" s="4">
        <v>6424.94</v>
      </c>
      <c r="Q119" s="4"/>
      <c r="R119" s="4" t="str">
        <f t="shared" si="5"/>
        <v>2024</v>
      </c>
      <c r="S119" s="4" t="str">
        <f t="shared" si="6"/>
        <v>February</v>
      </c>
      <c r="T119" s="4">
        <f t="shared" si="7"/>
        <v>6424.94</v>
      </c>
      <c r="U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row>
    <row r="120" spans="1:53" ht="19.95" customHeight="1">
      <c r="A120" s="4">
        <v>119</v>
      </c>
      <c r="B120" s="4" t="s">
        <v>402</v>
      </c>
      <c r="C120" s="4" t="s">
        <v>20</v>
      </c>
      <c r="D120" s="4" t="s">
        <v>21</v>
      </c>
      <c r="E120" s="4" t="s">
        <v>22</v>
      </c>
      <c r="F120" s="4" t="s">
        <v>23</v>
      </c>
      <c r="G120" s="4" t="s">
        <v>24</v>
      </c>
      <c r="H120" s="4" t="s">
        <v>25</v>
      </c>
      <c r="I120" s="4" t="s">
        <v>403</v>
      </c>
      <c r="J120" s="4" t="s">
        <v>73</v>
      </c>
      <c r="K120" s="5">
        <v>45189</v>
      </c>
      <c r="L120" s="5">
        <v>45246</v>
      </c>
      <c r="M120" s="5">
        <v>45265</v>
      </c>
      <c r="N120" s="6">
        <f t="shared" si="4"/>
        <v>19</v>
      </c>
      <c r="O120" s="4" t="s">
        <v>28</v>
      </c>
      <c r="P120" s="4">
        <v>18215.919999999998</v>
      </c>
      <c r="Q120" s="4"/>
      <c r="R120" s="4" t="str">
        <f t="shared" si="5"/>
        <v>2023</v>
      </c>
      <c r="S120" s="4" t="str">
        <f t="shared" si="6"/>
        <v>November</v>
      </c>
      <c r="T120" s="4">
        <f t="shared" si="7"/>
        <v>18215.919999999998</v>
      </c>
      <c r="U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row>
    <row r="121" spans="1:53" ht="19.95" customHeight="1">
      <c r="A121" s="4">
        <v>120</v>
      </c>
      <c r="B121" s="4" t="s">
        <v>404</v>
      </c>
      <c r="C121" s="4" t="s">
        <v>20</v>
      </c>
      <c r="D121" s="4" t="s">
        <v>21</v>
      </c>
      <c r="E121" s="4" t="s">
        <v>22</v>
      </c>
      <c r="F121" s="4" t="s">
        <v>23</v>
      </c>
      <c r="G121" s="4" t="s">
        <v>24</v>
      </c>
      <c r="H121" s="4" t="s">
        <v>25</v>
      </c>
      <c r="I121" s="4" t="s">
        <v>405</v>
      </c>
      <c r="J121" s="4" t="s">
        <v>406</v>
      </c>
      <c r="K121" s="5">
        <v>45189</v>
      </c>
      <c r="L121" s="5">
        <v>45286</v>
      </c>
      <c r="M121" s="5">
        <v>45314</v>
      </c>
      <c r="N121" s="6">
        <f t="shared" si="4"/>
        <v>28</v>
      </c>
      <c r="O121" s="4" t="s">
        <v>28</v>
      </c>
      <c r="P121" s="4">
        <v>5994.9</v>
      </c>
      <c r="Q121" s="4"/>
      <c r="R121" s="4" t="str">
        <f t="shared" si="5"/>
        <v>2023</v>
      </c>
      <c r="S121" s="4" t="str">
        <f t="shared" si="6"/>
        <v>December</v>
      </c>
      <c r="T121" s="4">
        <f t="shared" si="7"/>
        <v>5994.9</v>
      </c>
      <c r="U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row>
    <row r="122" spans="1:53" ht="19.95" customHeight="1">
      <c r="A122" s="4">
        <v>121</v>
      </c>
      <c r="B122" s="4" t="s">
        <v>407</v>
      </c>
      <c r="C122" s="4" t="s">
        <v>20</v>
      </c>
      <c r="D122" s="4" t="s">
        <v>21</v>
      </c>
      <c r="E122" s="4" t="s">
        <v>161</v>
      </c>
      <c r="F122" s="4" t="s">
        <v>23</v>
      </c>
      <c r="G122" s="4" t="s">
        <v>24</v>
      </c>
      <c r="H122" s="4" t="s">
        <v>25</v>
      </c>
      <c r="I122" s="4" t="s">
        <v>408</v>
      </c>
      <c r="J122" s="4" t="s">
        <v>409</v>
      </c>
      <c r="K122" s="5">
        <v>45184</v>
      </c>
      <c r="L122" s="5">
        <v>45283</v>
      </c>
      <c r="M122" s="5">
        <v>45297</v>
      </c>
      <c r="N122" s="6">
        <f t="shared" si="4"/>
        <v>14</v>
      </c>
      <c r="O122" s="4" t="s">
        <v>28</v>
      </c>
      <c r="P122" s="4">
        <v>22670.77</v>
      </c>
      <c r="Q122" s="4"/>
      <c r="R122" s="4" t="str">
        <f t="shared" si="5"/>
        <v>2023</v>
      </c>
      <c r="S122" s="4" t="str">
        <f t="shared" si="6"/>
        <v>December</v>
      </c>
      <c r="T122" s="4">
        <f t="shared" si="7"/>
        <v>22670.77</v>
      </c>
      <c r="U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row>
    <row r="123" spans="1:53" ht="19.95" customHeight="1">
      <c r="A123" s="4">
        <v>122</v>
      </c>
      <c r="B123" s="4" t="s">
        <v>410</v>
      </c>
      <c r="C123" s="4" t="s">
        <v>20</v>
      </c>
      <c r="D123" s="4" t="s">
        <v>21</v>
      </c>
      <c r="E123" s="4" t="s">
        <v>31</v>
      </c>
      <c r="F123" s="4" t="s">
        <v>285</v>
      </c>
      <c r="G123" s="4" t="s">
        <v>24</v>
      </c>
      <c r="H123" s="4" t="s">
        <v>25</v>
      </c>
      <c r="I123" s="4" t="s">
        <v>411</v>
      </c>
      <c r="J123" s="4" t="s">
        <v>412</v>
      </c>
      <c r="K123" s="5">
        <v>45184</v>
      </c>
      <c r="L123" s="5">
        <v>45321</v>
      </c>
      <c r="M123" s="5">
        <v>45328</v>
      </c>
      <c r="N123" s="6">
        <f t="shared" si="4"/>
        <v>7</v>
      </c>
      <c r="O123" s="4" t="s">
        <v>28</v>
      </c>
      <c r="P123" s="4">
        <v>3140</v>
      </c>
      <c r="Q123" s="4"/>
      <c r="R123" s="4" t="str">
        <f t="shared" si="5"/>
        <v>2024</v>
      </c>
      <c r="S123" s="4" t="str">
        <f t="shared" si="6"/>
        <v>January</v>
      </c>
      <c r="T123" s="4">
        <f t="shared" si="7"/>
        <v>3140</v>
      </c>
      <c r="U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row>
    <row r="124" spans="1:53" ht="19.95" customHeight="1">
      <c r="A124" s="4">
        <v>123</v>
      </c>
      <c r="B124" s="4" t="s">
        <v>413</v>
      </c>
      <c r="C124" s="4" t="s">
        <v>20</v>
      </c>
      <c r="D124" s="4" t="s">
        <v>21</v>
      </c>
      <c r="E124" s="4" t="s">
        <v>22</v>
      </c>
      <c r="F124" s="4" t="s">
        <v>23</v>
      </c>
      <c r="G124" s="4" t="s">
        <v>24</v>
      </c>
      <c r="H124" s="4" t="s">
        <v>25</v>
      </c>
      <c r="I124" s="4" t="s">
        <v>414</v>
      </c>
      <c r="J124" s="4" t="s">
        <v>415</v>
      </c>
      <c r="K124" s="5">
        <v>45183</v>
      </c>
      <c r="L124" s="5">
        <v>45341</v>
      </c>
      <c r="M124" s="5">
        <v>45376</v>
      </c>
      <c r="N124" s="6">
        <f t="shared" si="4"/>
        <v>35</v>
      </c>
      <c r="O124" s="4" t="s">
        <v>28</v>
      </c>
      <c r="P124" s="4">
        <v>13137.21</v>
      </c>
      <c r="Q124" s="4"/>
      <c r="R124" s="4" t="str">
        <f t="shared" si="5"/>
        <v>2024</v>
      </c>
      <c r="S124" s="4" t="str">
        <f t="shared" si="6"/>
        <v>February</v>
      </c>
      <c r="T124" s="4">
        <f t="shared" si="7"/>
        <v>13137.21</v>
      </c>
      <c r="U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row>
    <row r="125" spans="1:53" ht="19.95" customHeight="1">
      <c r="A125" s="4">
        <v>124</v>
      </c>
      <c r="B125" s="4" t="s">
        <v>416</v>
      </c>
      <c r="C125" s="4" t="s">
        <v>65</v>
      </c>
      <c r="D125" s="4" t="s">
        <v>21</v>
      </c>
      <c r="E125" s="4" t="s">
        <v>31</v>
      </c>
      <c r="F125" s="4" t="s">
        <v>23</v>
      </c>
      <c r="G125" s="4" t="s">
        <v>24</v>
      </c>
      <c r="H125" s="4" t="s">
        <v>25</v>
      </c>
      <c r="I125" s="4" t="s">
        <v>417</v>
      </c>
      <c r="J125" s="4" t="s">
        <v>418</v>
      </c>
      <c r="K125" s="5">
        <v>45182</v>
      </c>
      <c r="L125" s="5">
        <v>45283</v>
      </c>
      <c r="M125" s="5">
        <v>45289</v>
      </c>
      <c r="N125" s="6">
        <f t="shared" si="4"/>
        <v>6</v>
      </c>
      <c r="O125" s="4" t="s">
        <v>28</v>
      </c>
      <c r="P125" s="4">
        <v>6337.02</v>
      </c>
      <c r="Q125" s="4"/>
      <c r="R125" s="4" t="str">
        <f t="shared" si="5"/>
        <v>2023</v>
      </c>
      <c r="S125" s="4" t="str">
        <f t="shared" si="6"/>
        <v>December</v>
      </c>
      <c r="T125" s="4">
        <f t="shared" si="7"/>
        <v>6337.02</v>
      </c>
      <c r="U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row>
    <row r="126" spans="1:53" ht="19.95" customHeight="1">
      <c r="A126" s="4">
        <v>125</v>
      </c>
      <c r="B126" s="4" t="s">
        <v>419</v>
      </c>
      <c r="C126" s="4" t="s">
        <v>20</v>
      </c>
      <c r="D126" s="4" t="s">
        <v>21</v>
      </c>
      <c r="E126" s="4" t="s">
        <v>39</v>
      </c>
      <c r="F126" s="4" t="s">
        <v>320</v>
      </c>
      <c r="G126" s="4" t="s">
        <v>24</v>
      </c>
      <c r="H126" s="4" t="s">
        <v>129</v>
      </c>
      <c r="I126" s="4" t="s">
        <v>420</v>
      </c>
      <c r="J126" s="4" t="s">
        <v>421</v>
      </c>
      <c r="K126" s="5">
        <v>45182</v>
      </c>
      <c r="L126" s="5">
        <v>45289</v>
      </c>
      <c r="M126" s="5">
        <v>45298</v>
      </c>
      <c r="N126" s="6">
        <f t="shared" si="4"/>
        <v>9</v>
      </c>
      <c r="O126" s="4" t="s">
        <v>28</v>
      </c>
      <c r="P126" s="4">
        <v>6455.16</v>
      </c>
      <c r="Q126" s="4"/>
      <c r="R126" s="4" t="str">
        <f t="shared" si="5"/>
        <v>2023</v>
      </c>
      <c r="S126" s="4" t="str">
        <f t="shared" si="6"/>
        <v>December</v>
      </c>
      <c r="T126" s="4">
        <f t="shared" si="7"/>
        <v>6455.16</v>
      </c>
      <c r="U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row>
    <row r="127" spans="1:53" ht="19.95" customHeight="1">
      <c r="A127" s="4">
        <v>126</v>
      </c>
      <c r="B127" s="4" t="s">
        <v>422</v>
      </c>
      <c r="C127" s="4" t="s">
        <v>20</v>
      </c>
      <c r="D127" s="4" t="s">
        <v>21</v>
      </c>
      <c r="E127" s="4" t="s">
        <v>22</v>
      </c>
      <c r="F127" s="4" t="s">
        <v>24</v>
      </c>
      <c r="G127" s="4" t="s">
        <v>223</v>
      </c>
      <c r="H127" s="4" t="s">
        <v>200</v>
      </c>
      <c r="I127" s="4" t="s">
        <v>423</v>
      </c>
      <c r="J127" s="4" t="s">
        <v>424</v>
      </c>
      <c r="K127" s="5">
        <v>45181</v>
      </c>
      <c r="L127" s="5">
        <v>45184</v>
      </c>
      <c r="M127" s="5">
        <v>45184</v>
      </c>
      <c r="N127" s="6">
        <f t="shared" si="4"/>
        <v>0</v>
      </c>
      <c r="O127" s="4" t="s">
        <v>28</v>
      </c>
      <c r="P127" s="4">
        <v>1692</v>
      </c>
      <c r="Q127" s="4"/>
      <c r="R127" s="4" t="str">
        <f t="shared" si="5"/>
        <v>2023</v>
      </c>
      <c r="S127" s="4" t="str">
        <f t="shared" si="6"/>
        <v>September</v>
      </c>
      <c r="T127" s="4">
        <f t="shared" si="7"/>
        <v>1692</v>
      </c>
      <c r="U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row>
    <row r="128" spans="1:53" ht="19.95" customHeight="1">
      <c r="A128" s="4">
        <v>127</v>
      </c>
      <c r="B128" s="4" t="s">
        <v>425</v>
      </c>
      <c r="C128" s="4" t="s">
        <v>20</v>
      </c>
      <c r="D128" s="4" t="s">
        <v>21</v>
      </c>
      <c r="E128" s="4" t="s">
        <v>31</v>
      </c>
      <c r="F128" s="4" t="s">
        <v>48</v>
      </c>
      <c r="G128" s="4" t="s">
        <v>24</v>
      </c>
      <c r="H128" s="4" t="s">
        <v>44</v>
      </c>
      <c r="I128" s="4" t="s">
        <v>426</v>
      </c>
      <c r="J128" s="4" t="s">
        <v>427</v>
      </c>
      <c r="K128" s="5">
        <v>45180</v>
      </c>
      <c r="L128" s="5">
        <v>45352</v>
      </c>
      <c r="M128" s="5">
        <v>45362</v>
      </c>
      <c r="N128" s="6">
        <f t="shared" si="4"/>
        <v>10</v>
      </c>
      <c r="O128" s="4" t="s">
        <v>28</v>
      </c>
      <c r="P128" s="4">
        <v>5000</v>
      </c>
      <c r="Q128" s="4"/>
      <c r="R128" s="4" t="str">
        <f t="shared" si="5"/>
        <v>2024</v>
      </c>
      <c r="S128" s="4" t="str">
        <f t="shared" si="6"/>
        <v>March</v>
      </c>
      <c r="T128" s="4">
        <f t="shared" si="7"/>
        <v>5000</v>
      </c>
      <c r="U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row>
    <row r="129" spans="1:53" ht="19.95" customHeight="1">
      <c r="A129" s="4">
        <v>128</v>
      </c>
      <c r="B129" s="4" t="s">
        <v>428</v>
      </c>
      <c r="C129" s="4" t="s">
        <v>20</v>
      </c>
      <c r="D129" s="4" t="s">
        <v>21</v>
      </c>
      <c r="E129" s="4" t="s">
        <v>154</v>
      </c>
      <c r="F129" s="4" t="s">
        <v>23</v>
      </c>
      <c r="G129" s="4" t="s">
        <v>24</v>
      </c>
      <c r="H129" s="4" t="s">
        <v>25</v>
      </c>
      <c r="I129" s="4" t="s">
        <v>429</v>
      </c>
      <c r="J129" s="4" t="s">
        <v>430</v>
      </c>
      <c r="K129" s="5">
        <v>45180</v>
      </c>
      <c r="L129" s="5">
        <v>45196</v>
      </c>
      <c r="M129" s="5">
        <v>45209</v>
      </c>
      <c r="N129" s="6">
        <f t="shared" si="4"/>
        <v>13</v>
      </c>
      <c r="O129" s="4" t="s">
        <v>28</v>
      </c>
      <c r="P129" s="4">
        <v>3022.24</v>
      </c>
      <c r="Q129" s="4"/>
      <c r="R129" s="4" t="str">
        <f t="shared" si="5"/>
        <v>2023</v>
      </c>
      <c r="S129" s="4" t="str">
        <f t="shared" si="6"/>
        <v>September</v>
      </c>
      <c r="T129" s="4">
        <f t="shared" si="7"/>
        <v>3022.24</v>
      </c>
      <c r="U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row>
    <row r="130" spans="1:53" ht="19.95" customHeight="1">
      <c r="A130" s="4">
        <v>129</v>
      </c>
      <c r="B130" s="4" t="s">
        <v>431</v>
      </c>
      <c r="C130" s="4" t="s">
        <v>20</v>
      </c>
      <c r="D130" s="4" t="s">
        <v>21</v>
      </c>
      <c r="E130" s="4" t="s">
        <v>76</v>
      </c>
      <c r="F130" s="4" t="s">
        <v>23</v>
      </c>
      <c r="G130" s="4" t="s">
        <v>24</v>
      </c>
      <c r="H130" s="4" t="s">
        <v>25</v>
      </c>
      <c r="I130" s="4" t="s">
        <v>432</v>
      </c>
      <c r="J130" s="4" t="s">
        <v>433</v>
      </c>
      <c r="K130" s="5">
        <v>45177</v>
      </c>
      <c r="L130" s="5">
        <v>45283</v>
      </c>
      <c r="M130" s="5">
        <v>45300</v>
      </c>
      <c r="N130" s="6">
        <f t="shared" ref="N130:N193" si="8">M130-L130</f>
        <v>17</v>
      </c>
      <c r="O130" s="4" t="s">
        <v>334</v>
      </c>
      <c r="P130" s="4">
        <v>8366.66</v>
      </c>
      <c r="Q130" s="4"/>
      <c r="R130" s="4" t="str">
        <f t="shared" ref="R130:R193" si="9">TEXT(L130,"YYY")</f>
        <v>2023</v>
      </c>
      <c r="S130" s="4" t="str">
        <f t="shared" ref="S130:S193" si="10">TEXT(L130,"MMMM")</f>
        <v>December</v>
      </c>
      <c r="T130" s="4">
        <f t="shared" ref="T130:T193" si="11">P130</f>
        <v>8366.66</v>
      </c>
      <c r="U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row>
    <row r="131" spans="1:53" ht="19.95" customHeight="1">
      <c r="A131" s="4">
        <v>130</v>
      </c>
      <c r="B131" s="4" t="s">
        <v>434</v>
      </c>
      <c r="C131" s="4" t="s">
        <v>20</v>
      </c>
      <c r="D131" s="4" t="s">
        <v>21</v>
      </c>
      <c r="E131" s="4" t="s">
        <v>22</v>
      </c>
      <c r="F131" s="4" t="s">
        <v>43</v>
      </c>
      <c r="G131" s="4" t="s">
        <v>24</v>
      </c>
      <c r="H131" s="4" t="s">
        <v>44</v>
      </c>
      <c r="I131" s="4" t="s">
        <v>435</v>
      </c>
      <c r="J131" s="4" t="s">
        <v>436</v>
      </c>
      <c r="K131" s="5">
        <v>45177</v>
      </c>
      <c r="L131" s="5">
        <v>45291</v>
      </c>
      <c r="M131" s="5">
        <v>45300</v>
      </c>
      <c r="N131" s="6">
        <f t="shared" si="8"/>
        <v>9</v>
      </c>
      <c r="O131" s="4" t="s">
        <v>28</v>
      </c>
      <c r="P131" s="4">
        <v>2532.41</v>
      </c>
      <c r="Q131" s="4"/>
      <c r="R131" s="4" t="str">
        <f t="shared" si="9"/>
        <v>2023</v>
      </c>
      <c r="S131" s="4" t="str">
        <f t="shared" si="10"/>
        <v>December</v>
      </c>
      <c r="T131" s="4">
        <f t="shared" si="11"/>
        <v>2532.41</v>
      </c>
      <c r="U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row>
    <row r="132" spans="1:53" ht="19.95" customHeight="1">
      <c r="A132" s="4">
        <v>131</v>
      </c>
      <c r="B132" s="4" t="s">
        <v>2491</v>
      </c>
      <c r="C132" s="4" t="s">
        <v>20</v>
      </c>
      <c r="D132" s="4" t="s">
        <v>56</v>
      </c>
      <c r="E132" s="4" t="s">
        <v>39</v>
      </c>
      <c r="F132" s="4" t="s">
        <v>48</v>
      </c>
      <c r="G132" s="4" t="s">
        <v>24</v>
      </c>
      <c r="H132" s="4" t="s">
        <v>49</v>
      </c>
      <c r="I132" s="4" t="s">
        <v>2492</v>
      </c>
      <c r="J132" s="4" t="s">
        <v>2493</v>
      </c>
      <c r="K132" s="5">
        <v>45176</v>
      </c>
      <c r="L132" s="5">
        <v>45378</v>
      </c>
      <c r="M132" s="5">
        <v>45402</v>
      </c>
      <c r="N132" s="6">
        <f t="shared" si="8"/>
        <v>24</v>
      </c>
      <c r="O132" s="4" t="s">
        <v>28</v>
      </c>
      <c r="P132" s="4">
        <v>6932</v>
      </c>
      <c r="Q132" s="4"/>
      <c r="R132" s="4" t="str">
        <f t="shared" si="9"/>
        <v>2024</v>
      </c>
      <c r="S132" s="4" t="str">
        <f t="shared" si="10"/>
        <v>March</v>
      </c>
      <c r="T132" s="4">
        <f t="shared" si="11"/>
        <v>6932</v>
      </c>
      <c r="U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row>
    <row r="133" spans="1:53" ht="19.95" customHeight="1">
      <c r="A133" s="4">
        <v>132</v>
      </c>
      <c r="B133" s="4" t="s">
        <v>437</v>
      </c>
      <c r="C133" s="4" t="s">
        <v>20</v>
      </c>
      <c r="D133" s="4" t="s">
        <v>356</v>
      </c>
      <c r="E133" s="4" t="s">
        <v>39</v>
      </c>
      <c r="F133" s="4" t="s">
        <v>23</v>
      </c>
      <c r="G133" s="4" t="s">
        <v>24</v>
      </c>
      <c r="H133" s="4" t="s">
        <v>25</v>
      </c>
      <c r="I133" s="4" t="s">
        <v>438</v>
      </c>
      <c r="J133" s="4" t="s">
        <v>439</v>
      </c>
      <c r="K133" s="5">
        <v>45173</v>
      </c>
      <c r="L133" s="5">
        <v>45252</v>
      </c>
      <c r="M133" s="5">
        <v>45267</v>
      </c>
      <c r="N133" s="6">
        <f t="shared" si="8"/>
        <v>15</v>
      </c>
      <c r="O133" s="4" t="s">
        <v>28</v>
      </c>
      <c r="P133" s="4">
        <v>5141.68</v>
      </c>
      <c r="Q133" s="4"/>
      <c r="R133" s="4" t="str">
        <f t="shared" si="9"/>
        <v>2023</v>
      </c>
      <c r="S133" s="4" t="str">
        <f t="shared" si="10"/>
        <v>November</v>
      </c>
      <c r="T133" s="4">
        <f t="shared" si="11"/>
        <v>5141.68</v>
      </c>
      <c r="U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row>
    <row r="134" spans="1:53" ht="19.95" customHeight="1">
      <c r="A134" s="4">
        <v>133</v>
      </c>
      <c r="B134" s="4" t="s">
        <v>440</v>
      </c>
      <c r="C134" s="4" t="s">
        <v>20</v>
      </c>
      <c r="D134" s="4" t="s">
        <v>21</v>
      </c>
      <c r="E134" s="4" t="s">
        <v>39</v>
      </c>
      <c r="F134" s="4" t="s">
        <v>23</v>
      </c>
      <c r="G134" s="4" t="s">
        <v>24</v>
      </c>
      <c r="H134" s="4" t="s">
        <v>25</v>
      </c>
      <c r="I134" s="4" t="s">
        <v>441</v>
      </c>
      <c r="J134" s="4" t="s">
        <v>442</v>
      </c>
      <c r="K134" s="5">
        <v>45172</v>
      </c>
      <c r="L134" s="5">
        <v>45250</v>
      </c>
      <c r="M134" s="5">
        <v>45257</v>
      </c>
      <c r="N134" s="6">
        <f t="shared" si="8"/>
        <v>7</v>
      </c>
      <c r="O134" s="4" t="s">
        <v>28</v>
      </c>
      <c r="P134" s="4">
        <v>3395.29</v>
      </c>
      <c r="Q134" s="4"/>
      <c r="R134" s="4" t="str">
        <f t="shared" si="9"/>
        <v>2023</v>
      </c>
      <c r="S134" s="4" t="str">
        <f t="shared" si="10"/>
        <v>November</v>
      </c>
      <c r="T134" s="4">
        <f t="shared" si="11"/>
        <v>3395.29</v>
      </c>
      <c r="U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row>
    <row r="135" spans="1:53" ht="19.95" customHeight="1">
      <c r="A135" s="4">
        <v>134</v>
      </c>
      <c r="B135" s="4" t="s">
        <v>443</v>
      </c>
      <c r="C135" s="4" t="s">
        <v>65</v>
      </c>
      <c r="D135" s="4" t="s">
        <v>56</v>
      </c>
      <c r="E135" s="4" t="s">
        <v>31</v>
      </c>
      <c r="F135" s="4" t="s">
        <v>444</v>
      </c>
      <c r="G135" s="4" t="s">
        <v>24</v>
      </c>
      <c r="H135" s="4" t="s">
        <v>211</v>
      </c>
      <c r="I135" s="4" t="s">
        <v>445</v>
      </c>
      <c r="J135" s="4" t="s">
        <v>446</v>
      </c>
      <c r="K135" s="5">
        <v>45170</v>
      </c>
      <c r="L135" s="5">
        <v>45237</v>
      </c>
      <c r="M135" s="5">
        <v>45260</v>
      </c>
      <c r="N135" s="6">
        <f t="shared" si="8"/>
        <v>23</v>
      </c>
      <c r="O135" s="4" t="s">
        <v>28</v>
      </c>
      <c r="P135" s="4">
        <v>9586</v>
      </c>
      <c r="Q135" s="4"/>
      <c r="R135" s="4" t="str">
        <f t="shared" si="9"/>
        <v>2023</v>
      </c>
      <c r="S135" s="4" t="str">
        <f t="shared" si="10"/>
        <v>November</v>
      </c>
      <c r="T135" s="4">
        <f t="shared" si="11"/>
        <v>9586</v>
      </c>
      <c r="U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row>
    <row r="136" spans="1:53" ht="19.95" customHeight="1">
      <c r="A136" s="4">
        <v>135</v>
      </c>
      <c r="B136" s="4" t="s">
        <v>447</v>
      </c>
      <c r="C136" s="4" t="s">
        <v>20</v>
      </c>
      <c r="D136" s="4" t="s">
        <v>21</v>
      </c>
      <c r="E136" s="4" t="s">
        <v>39</v>
      </c>
      <c r="F136" s="4" t="s">
        <v>23</v>
      </c>
      <c r="G136" s="4" t="s">
        <v>24</v>
      </c>
      <c r="H136" s="4" t="s">
        <v>25</v>
      </c>
      <c r="I136" s="4" t="s">
        <v>448</v>
      </c>
      <c r="J136" s="4" t="s">
        <v>449</v>
      </c>
      <c r="K136" s="5">
        <v>45167</v>
      </c>
      <c r="L136" s="5">
        <v>45370</v>
      </c>
      <c r="M136" s="5">
        <v>45384</v>
      </c>
      <c r="N136" s="6">
        <f t="shared" si="8"/>
        <v>14</v>
      </c>
      <c r="O136" s="4" t="s">
        <v>28</v>
      </c>
      <c r="P136" s="4">
        <v>7363.65</v>
      </c>
      <c r="Q136" s="4"/>
      <c r="R136" s="4" t="str">
        <f t="shared" si="9"/>
        <v>2024</v>
      </c>
      <c r="S136" s="4" t="str">
        <f t="shared" si="10"/>
        <v>March</v>
      </c>
      <c r="T136" s="4">
        <f t="shared" si="11"/>
        <v>7363.65</v>
      </c>
      <c r="U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row>
    <row r="137" spans="1:53" ht="19.95" customHeight="1">
      <c r="A137" s="4">
        <v>136</v>
      </c>
      <c r="B137" s="4" t="s">
        <v>450</v>
      </c>
      <c r="C137" s="4" t="s">
        <v>20</v>
      </c>
      <c r="D137" s="4" t="s">
        <v>21</v>
      </c>
      <c r="E137" s="4" t="s">
        <v>39</v>
      </c>
      <c r="F137" s="4" t="s">
        <v>23</v>
      </c>
      <c r="G137" s="4" t="s">
        <v>24</v>
      </c>
      <c r="H137" s="4" t="s">
        <v>25</v>
      </c>
      <c r="I137" s="4" t="s">
        <v>451</v>
      </c>
      <c r="J137" s="4" t="s">
        <v>452</v>
      </c>
      <c r="K137" s="5">
        <v>45163</v>
      </c>
      <c r="L137" s="5">
        <v>45289</v>
      </c>
      <c r="M137" s="5">
        <v>45299</v>
      </c>
      <c r="N137" s="6">
        <f t="shared" si="8"/>
        <v>10</v>
      </c>
      <c r="O137" s="4" t="s">
        <v>28</v>
      </c>
      <c r="P137" s="4">
        <v>6073.5</v>
      </c>
      <c r="Q137" s="4"/>
      <c r="R137" s="4" t="str">
        <f t="shared" si="9"/>
        <v>2023</v>
      </c>
      <c r="S137" s="4" t="str">
        <f t="shared" si="10"/>
        <v>December</v>
      </c>
      <c r="T137" s="4">
        <f t="shared" si="11"/>
        <v>6073.5</v>
      </c>
      <c r="U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row>
    <row r="138" spans="1:53" ht="19.95" customHeight="1">
      <c r="A138" s="4">
        <v>137</v>
      </c>
      <c r="B138" s="4" t="s">
        <v>453</v>
      </c>
      <c r="C138" s="4" t="s">
        <v>20</v>
      </c>
      <c r="D138" s="4" t="s">
        <v>30</v>
      </c>
      <c r="E138" s="4" t="s">
        <v>39</v>
      </c>
      <c r="F138" s="4" t="s">
        <v>24</v>
      </c>
      <c r="G138" s="4" t="s">
        <v>24</v>
      </c>
      <c r="H138" s="4" t="s">
        <v>200</v>
      </c>
      <c r="I138" s="4" t="s">
        <v>201</v>
      </c>
      <c r="J138" s="4" t="s">
        <v>202</v>
      </c>
      <c r="K138" s="5">
        <v>45161</v>
      </c>
      <c r="L138" s="5">
        <v>45184</v>
      </c>
      <c r="M138" s="5">
        <v>45186</v>
      </c>
      <c r="N138" s="6">
        <f t="shared" si="8"/>
        <v>2</v>
      </c>
      <c r="O138" s="4" t="s">
        <v>28</v>
      </c>
      <c r="P138" s="4">
        <v>414.82</v>
      </c>
      <c r="Q138" s="4"/>
      <c r="R138" s="4" t="str">
        <f t="shared" si="9"/>
        <v>2023</v>
      </c>
      <c r="S138" s="4" t="str">
        <f t="shared" si="10"/>
        <v>September</v>
      </c>
      <c r="T138" s="4">
        <f t="shared" si="11"/>
        <v>414.82</v>
      </c>
      <c r="U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row>
    <row r="139" spans="1:53" ht="19.95" customHeight="1">
      <c r="A139" s="4">
        <v>138</v>
      </c>
      <c r="B139" s="4" t="s">
        <v>454</v>
      </c>
      <c r="C139" s="4" t="s">
        <v>20</v>
      </c>
      <c r="D139" s="4" t="s">
        <v>21</v>
      </c>
      <c r="E139" s="4" t="s">
        <v>455</v>
      </c>
      <c r="F139" s="4" t="s">
        <v>23</v>
      </c>
      <c r="G139" s="4" t="s">
        <v>24</v>
      </c>
      <c r="H139" s="4" t="s">
        <v>25</v>
      </c>
      <c r="I139" s="4" t="s">
        <v>456</v>
      </c>
      <c r="J139" s="4" t="s">
        <v>457</v>
      </c>
      <c r="K139" s="5">
        <v>45160</v>
      </c>
      <c r="L139" s="5">
        <v>45312</v>
      </c>
      <c r="M139" s="5">
        <v>45330</v>
      </c>
      <c r="N139" s="6">
        <f t="shared" si="8"/>
        <v>18</v>
      </c>
      <c r="O139" s="4" t="s">
        <v>28</v>
      </c>
      <c r="P139" s="4">
        <v>4859.42</v>
      </c>
      <c r="Q139" s="4"/>
      <c r="R139" s="4" t="str">
        <f t="shared" si="9"/>
        <v>2024</v>
      </c>
      <c r="S139" s="4" t="str">
        <f t="shared" si="10"/>
        <v>January</v>
      </c>
      <c r="T139" s="4">
        <f t="shared" si="11"/>
        <v>4859.42</v>
      </c>
      <c r="U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row>
    <row r="140" spans="1:53" ht="19.95" customHeight="1">
      <c r="A140" s="4">
        <v>139</v>
      </c>
      <c r="B140" s="4" t="s">
        <v>458</v>
      </c>
      <c r="C140" s="4" t="s">
        <v>20</v>
      </c>
      <c r="D140" s="4" t="s">
        <v>21</v>
      </c>
      <c r="E140" s="4" t="s">
        <v>455</v>
      </c>
      <c r="F140" s="4" t="s">
        <v>23</v>
      </c>
      <c r="G140" s="4" t="s">
        <v>24</v>
      </c>
      <c r="H140" s="4" t="s">
        <v>25</v>
      </c>
      <c r="I140" s="4" t="s">
        <v>459</v>
      </c>
      <c r="J140" s="4" t="s">
        <v>460</v>
      </c>
      <c r="K140" s="5">
        <v>45159</v>
      </c>
      <c r="L140" s="5">
        <v>45178</v>
      </c>
      <c r="M140" s="5">
        <v>45183</v>
      </c>
      <c r="N140" s="6">
        <f t="shared" si="8"/>
        <v>5</v>
      </c>
      <c r="O140" s="4" t="s">
        <v>28</v>
      </c>
      <c r="P140" s="4">
        <v>1886.09</v>
      </c>
      <c r="Q140" s="4"/>
      <c r="R140" s="4" t="str">
        <f t="shared" si="9"/>
        <v>2023</v>
      </c>
      <c r="S140" s="4" t="str">
        <f t="shared" si="10"/>
        <v>September</v>
      </c>
      <c r="T140" s="4">
        <f t="shared" si="11"/>
        <v>1886.09</v>
      </c>
      <c r="U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row>
    <row r="141" spans="1:53" ht="19.95" customHeight="1">
      <c r="A141" s="4">
        <v>140</v>
      </c>
      <c r="B141" s="4" t="s">
        <v>461</v>
      </c>
      <c r="C141" s="4" t="s">
        <v>20</v>
      </c>
      <c r="D141" s="4" t="s">
        <v>21</v>
      </c>
      <c r="E141" s="4" t="s">
        <v>455</v>
      </c>
      <c r="F141" s="4" t="s">
        <v>23</v>
      </c>
      <c r="G141" s="4" t="s">
        <v>24</v>
      </c>
      <c r="H141" s="4" t="s">
        <v>25</v>
      </c>
      <c r="I141" s="4" t="s">
        <v>462</v>
      </c>
      <c r="J141" s="4" t="s">
        <v>463</v>
      </c>
      <c r="K141" s="5">
        <v>45157</v>
      </c>
      <c r="L141" s="5">
        <v>45226</v>
      </c>
      <c r="M141" s="5">
        <v>45241</v>
      </c>
      <c r="N141" s="6">
        <f t="shared" si="8"/>
        <v>15</v>
      </c>
      <c r="O141" s="4" t="s">
        <v>28</v>
      </c>
      <c r="P141" s="4">
        <v>6466</v>
      </c>
      <c r="Q141" s="4"/>
      <c r="R141" s="4" t="str">
        <f t="shared" si="9"/>
        <v>2023</v>
      </c>
      <c r="S141" s="4" t="str">
        <f t="shared" si="10"/>
        <v>October</v>
      </c>
      <c r="T141" s="4">
        <f t="shared" si="11"/>
        <v>6466</v>
      </c>
      <c r="U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row>
    <row r="142" spans="1:53" ht="19.95" customHeight="1">
      <c r="A142" s="4">
        <v>141</v>
      </c>
      <c r="B142" s="4" t="s">
        <v>464</v>
      </c>
      <c r="C142" s="4" t="s">
        <v>20</v>
      </c>
      <c r="D142" s="4" t="s">
        <v>21</v>
      </c>
      <c r="E142" s="4" t="s">
        <v>455</v>
      </c>
      <c r="F142" s="4" t="s">
        <v>23</v>
      </c>
      <c r="G142" s="4" t="s">
        <v>24</v>
      </c>
      <c r="H142" s="4" t="s">
        <v>25</v>
      </c>
      <c r="I142" s="4" t="s">
        <v>465</v>
      </c>
      <c r="J142" s="4" t="s">
        <v>466</v>
      </c>
      <c r="K142" s="5">
        <v>45157</v>
      </c>
      <c r="L142" s="5">
        <v>45273</v>
      </c>
      <c r="M142" s="5">
        <v>45289</v>
      </c>
      <c r="N142" s="6">
        <f t="shared" si="8"/>
        <v>16</v>
      </c>
      <c r="O142" s="4" t="s">
        <v>28</v>
      </c>
      <c r="P142" s="4">
        <v>13645.2</v>
      </c>
      <c r="Q142" s="4"/>
      <c r="R142" s="4" t="str">
        <f t="shared" si="9"/>
        <v>2023</v>
      </c>
      <c r="S142" s="4" t="str">
        <f t="shared" si="10"/>
        <v>December</v>
      </c>
      <c r="T142" s="4">
        <f t="shared" si="11"/>
        <v>13645.2</v>
      </c>
      <c r="U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row>
    <row r="143" spans="1:53" ht="19.95" customHeight="1">
      <c r="A143" s="4">
        <v>142</v>
      </c>
      <c r="B143" s="4" t="s">
        <v>467</v>
      </c>
      <c r="C143" s="4" t="s">
        <v>20</v>
      </c>
      <c r="D143" s="4" t="s">
        <v>56</v>
      </c>
      <c r="E143" s="4" t="s">
        <v>39</v>
      </c>
      <c r="F143" s="4" t="s">
        <v>23</v>
      </c>
      <c r="G143" s="4" t="s">
        <v>24</v>
      </c>
      <c r="H143" s="4" t="s">
        <v>25</v>
      </c>
      <c r="I143" s="4" t="s">
        <v>468</v>
      </c>
      <c r="J143" s="4" t="s">
        <v>469</v>
      </c>
      <c r="K143" s="5">
        <v>45156</v>
      </c>
      <c r="L143" s="5">
        <v>45306</v>
      </c>
      <c r="M143" s="5">
        <v>45326</v>
      </c>
      <c r="N143" s="6">
        <f t="shared" si="8"/>
        <v>20</v>
      </c>
      <c r="O143" s="4" t="s">
        <v>28</v>
      </c>
      <c r="P143" s="4">
        <v>5577.03</v>
      </c>
      <c r="Q143" s="4"/>
      <c r="R143" s="4" t="str">
        <f t="shared" si="9"/>
        <v>2024</v>
      </c>
      <c r="S143" s="4" t="str">
        <f t="shared" si="10"/>
        <v>January</v>
      </c>
      <c r="T143" s="4">
        <f t="shared" si="11"/>
        <v>5577.03</v>
      </c>
      <c r="U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row>
    <row r="144" spans="1:53" ht="19.95" customHeight="1">
      <c r="A144" s="4">
        <v>143</v>
      </c>
      <c r="B144" s="4" t="s">
        <v>470</v>
      </c>
      <c r="C144" s="4" t="s">
        <v>20</v>
      </c>
      <c r="D144" s="4" t="s">
        <v>56</v>
      </c>
      <c r="E144" s="4" t="s">
        <v>39</v>
      </c>
      <c r="F144" s="4" t="s">
        <v>23</v>
      </c>
      <c r="G144" s="4" t="s">
        <v>24</v>
      </c>
      <c r="H144" s="4" t="s">
        <v>25</v>
      </c>
      <c r="I144" s="4" t="s">
        <v>471</v>
      </c>
      <c r="J144" s="4" t="s">
        <v>472</v>
      </c>
      <c r="K144" s="5">
        <v>45156</v>
      </c>
      <c r="L144" s="5">
        <v>45339</v>
      </c>
      <c r="M144" s="5">
        <v>45354</v>
      </c>
      <c r="N144" s="6">
        <f t="shared" si="8"/>
        <v>15</v>
      </c>
      <c r="O144" s="4" t="s">
        <v>28</v>
      </c>
      <c r="P144" s="4">
        <v>17514.5</v>
      </c>
      <c r="Q144" s="4"/>
      <c r="R144" s="4" t="str">
        <f t="shared" si="9"/>
        <v>2024</v>
      </c>
      <c r="S144" s="4" t="str">
        <f t="shared" si="10"/>
        <v>February</v>
      </c>
      <c r="T144" s="4">
        <f t="shared" si="11"/>
        <v>17514.5</v>
      </c>
      <c r="U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row>
    <row r="145" spans="1:53" ht="19.95" customHeight="1">
      <c r="A145" s="4">
        <v>144</v>
      </c>
      <c r="B145" s="4" t="s">
        <v>473</v>
      </c>
      <c r="C145" s="4" t="s">
        <v>20</v>
      </c>
      <c r="D145" s="4" t="s">
        <v>21</v>
      </c>
      <c r="E145" s="4" t="s">
        <v>455</v>
      </c>
      <c r="F145" s="4" t="s">
        <v>43</v>
      </c>
      <c r="G145" s="4" t="s">
        <v>24</v>
      </c>
      <c r="H145" s="4" t="s">
        <v>44</v>
      </c>
      <c r="I145" s="4" t="s">
        <v>474</v>
      </c>
      <c r="J145" s="4" t="s">
        <v>475</v>
      </c>
      <c r="K145" s="5">
        <v>45155</v>
      </c>
      <c r="L145" s="5">
        <v>45305</v>
      </c>
      <c r="M145" s="5">
        <v>45314</v>
      </c>
      <c r="N145" s="6">
        <f t="shared" si="8"/>
        <v>9</v>
      </c>
      <c r="O145" s="4" t="s">
        <v>28</v>
      </c>
      <c r="P145" s="4">
        <v>4249.6499999999996</v>
      </c>
      <c r="Q145" s="4"/>
      <c r="R145" s="4" t="str">
        <f t="shared" si="9"/>
        <v>2024</v>
      </c>
      <c r="S145" s="4" t="str">
        <f t="shared" si="10"/>
        <v>January</v>
      </c>
      <c r="T145" s="4">
        <f t="shared" si="11"/>
        <v>4249.6499999999996</v>
      </c>
      <c r="U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row>
    <row r="146" spans="1:53" ht="19.95" customHeight="1">
      <c r="A146" s="4">
        <v>145</v>
      </c>
      <c r="B146" s="4" t="s">
        <v>476</v>
      </c>
      <c r="C146" s="4" t="s">
        <v>20</v>
      </c>
      <c r="D146" s="4" t="s">
        <v>21</v>
      </c>
      <c r="E146" s="4" t="s">
        <v>455</v>
      </c>
      <c r="F146" s="4" t="s">
        <v>23</v>
      </c>
      <c r="G146" s="4" t="s">
        <v>24</v>
      </c>
      <c r="H146" s="4" t="s">
        <v>25</v>
      </c>
      <c r="I146" s="4" t="s">
        <v>477</v>
      </c>
      <c r="J146" s="4" t="s">
        <v>478</v>
      </c>
      <c r="K146" s="5">
        <v>45152</v>
      </c>
      <c r="L146" s="5">
        <v>45262</v>
      </c>
      <c r="M146" s="5">
        <v>45270</v>
      </c>
      <c r="N146" s="6">
        <f t="shared" si="8"/>
        <v>8</v>
      </c>
      <c r="O146" s="4" t="s">
        <v>28</v>
      </c>
      <c r="P146" s="4">
        <v>2331.88</v>
      </c>
      <c r="Q146" s="4"/>
      <c r="R146" s="4" t="str">
        <f t="shared" si="9"/>
        <v>2023</v>
      </c>
      <c r="S146" s="4" t="str">
        <f t="shared" si="10"/>
        <v>December</v>
      </c>
      <c r="T146" s="4">
        <f t="shared" si="11"/>
        <v>2331.88</v>
      </c>
      <c r="U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row>
    <row r="147" spans="1:53" ht="19.95" customHeight="1">
      <c r="A147" s="4">
        <v>146</v>
      </c>
      <c r="B147" s="4" t="s">
        <v>479</v>
      </c>
      <c r="C147" s="4" t="s">
        <v>20</v>
      </c>
      <c r="D147" s="4" t="s">
        <v>21</v>
      </c>
      <c r="E147" s="4" t="s">
        <v>455</v>
      </c>
      <c r="F147" s="4" t="s">
        <v>48</v>
      </c>
      <c r="G147" s="4" t="s">
        <v>24</v>
      </c>
      <c r="H147" s="4" t="s">
        <v>49</v>
      </c>
      <c r="I147" s="4" t="s">
        <v>480</v>
      </c>
      <c r="J147" s="4"/>
      <c r="K147" s="5">
        <v>45151</v>
      </c>
      <c r="L147" s="5">
        <v>45183</v>
      </c>
      <c r="M147" s="5">
        <v>45196</v>
      </c>
      <c r="N147" s="6">
        <f t="shared" si="8"/>
        <v>13</v>
      </c>
      <c r="O147" s="4" t="s">
        <v>28</v>
      </c>
      <c r="P147" s="4">
        <v>1014</v>
      </c>
      <c r="Q147" s="4"/>
      <c r="R147" s="4" t="str">
        <f t="shared" si="9"/>
        <v>2023</v>
      </c>
      <c r="S147" s="4" t="str">
        <f t="shared" si="10"/>
        <v>September</v>
      </c>
      <c r="T147" s="4">
        <f t="shared" si="11"/>
        <v>1014</v>
      </c>
      <c r="U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row>
    <row r="148" spans="1:53" ht="19.95" customHeight="1">
      <c r="A148" s="4">
        <v>147</v>
      </c>
      <c r="B148" s="4" t="s">
        <v>481</v>
      </c>
      <c r="C148" s="4" t="s">
        <v>20</v>
      </c>
      <c r="D148" s="4" t="s">
        <v>356</v>
      </c>
      <c r="E148" s="4" t="s">
        <v>39</v>
      </c>
      <c r="F148" s="4" t="s">
        <v>23</v>
      </c>
      <c r="G148" s="4" t="s">
        <v>24</v>
      </c>
      <c r="H148" s="4" t="s">
        <v>25</v>
      </c>
      <c r="I148" s="4" t="s">
        <v>482</v>
      </c>
      <c r="J148" s="4" t="s">
        <v>483</v>
      </c>
      <c r="K148" s="5">
        <v>45150</v>
      </c>
      <c r="L148" s="5">
        <v>45317</v>
      </c>
      <c r="M148" s="5">
        <v>45332</v>
      </c>
      <c r="N148" s="6">
        <f t="shared" si="8"/>
        <v>15</v>
      </c>
      <c r="O148" s="4" t="s">
        <v>28</v>
      </c>
      <c r="P148" s="4">
        <v>19225.150000000001</v>
      </c>
      <c r="Q148" s="4"/>
      <c r="R148" s="4" t="str">
        <f t="shared" si="9"/>
        <v>2024</v>
      </c>
      <c r="S148" s="4" t="str">
        <f t="shared" si="10"/>
        <v>January</v>
      </c>
      <c r="T148" s="4">
        <f t="shared" si="11"/>
        <v>19225.150000000001</v>
      </c>
      <c r="U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row>
    <row r="149" spans="1:53" ht="19.95" customHeight="1">
      <c r="A149" s="4">
        <v>148</v>
      </c>
      <c r="B149" s="4" t="s">
        <v>484</v>
      </c>
      <c r="C149" s="4" t="s">
        <v>20</v>
      </c>
      <c r="D149" s="4" t="s">
        <v>356</v>
      </c>
      <c r="E149" s="4" t="s">
        <v>39</v>
      </c>
      <c r="F149" s="4" t="s">
        <v>23</v>
      </c>
      <c r="G149" s="4" t="s">
        <v>24</v>
      </c>
      <c r="H149" s="4" t="s">
        <v>25</v>
      </c>
      <c r="I149" s="4" t="s">
        <v>485</v>
      </c>
      <c r="J149" s="4" t="s">
        <v>486</v>
      </c>
      <c r="K149" s="5">
        <v>45150</v>
      </c>
      <c r="L149" s="5">
        <v>45299</v>
      </c>
      <c r="M149" s="5">
        <v>45315</v>
      </c>
      <c r="N149" s="6">
        <f t="shared" si="8"/>
        <v>16</v>
      </c>
      <c r="O149" s="4" t="s">
        <v>28</v>
      </c>
      <c r="P149" s="4">
        <v>5528.05</v>
      </c>
      <c r="Q149" s="4"/>
      <c r="R149" s="4" t="str">
        <f t="shared" si="9"/>
        <v>2024</v>
      </c>
      <c r="S149" s="4" t="str">
        <f t="shared" si="10"/>
        <v>January</v>
      </c>
      <c r="T149" s="4">
        <f t="shared" si="11"/>
        <v>5528.05</v>
      </c>
      <c r="U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row>
    <row r="150" spans="1:53" ht="19.95" customHeight="1">
      <c r="A150" s="4">
        <v>149</v>
      </c>
      <c r="B150" s="4" t="s">
        <v>487</v>
      </c>
      <c r="C150" s="4" t="s">
        <v>20</v>
      </c>
      <c r="D150" s="4" t="s">
        <v>38</v>
      </c>
      <c r="E150" s="4" t="s">
        <v>39</v>
      </c>
      <c r="F150" s="4" t="s">
        <v>48</v>
      </c>
      <c r="G150" s="4" t="s">
        <v>24</v>
      </c>
      <c r="H150" s="4" t="s">
        <v>49</v>
      </c>
      <c r="I150" s="4" t="s">
        <v>488</v>
      </c>
      <c r="J150" s="4" t="s">
        <v>489</v>
      </c>
      <c r="K150" s="5">
        <v>45149</v>
      </c>
      <c r="L150" s="5">
        <v>45306</v>
      </c>
      <c r="M150" s="5">
        <v>45318</v>
      </c>
      <c r="N150" s="6">
        <f t="shared" si="8"/>
        <v>12</v>
      </c>
      <c r="O150" s="4" t="s">
        <v>28</v>
      </c>
      <c r="P150" s="4">
        <v>3869.33</v>
      </c>
      <c r="Q150" s="4"/>
      <c r="R150" s="4" t="str">
        <f t="shared" si="9"/>
        <v>2024</v>
      </c>
      <c r="S150" s="4" t="str">
        <f t="shared" si="10"/>
        <v>January</v>
      </c>
      <c r="T150" s="4">
        <f t="shared" si="11"/>
        <v>3869.33</v>
      </c>
      <c r="U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row>
    <row r="151" spans="1:53" ht="19.95" customHeight="1">
      <c r="A151" s="4">
        <v>150</v>
      </c>
      <c r="B151" s="4" t="s">
        <v>490</v>
      </c>
      <c r="C151" s="4" t="s">
        <v>65</v>
      </c>
      <c r="D151" s="4" t="s">
        <v>75</v>
      </c>
      <c r="E151" s="4" t="s">
        <v>76</v>
      </c>
      <c r="F151" s="4" t="s">
        <v>116</v>
      </c>
      <c r="G151" s="4" t="s">
        <v>24</v>
      </c>
      <c r="H151" s="4" t="s">
        <v>117</v>
      </c>
      <c r="I151" s="4" t="s">
        <v>491</v>
      </c>
      <c r="J151" s="4" t="s">
        <v>492</v>
      </c>
      <c r="K151" s="5">
        <v>45148</v>
      </c>
      <c r="L151" s="5">
        <v>45285</v>
      </c>
      <c r="M151" s="5">
        <v>45302</v>
      </c>
      <c r="N151" s="6">
        <f t="shared" si="8"/>
        <v>17</v>
      </c>
      <c r="O151" s="4" t="s">
        <v>28</v>
      </c>
      <c r="P151" s="4">
        <v>18574.240000000002</v>
      </c>
      <c r="Q151" s="4"/>
      <c r="R151" s="4" t="str">
        <f t="shared" si="9"/>
        <v>2023</v>
      </c>
      <c r="S151" s="4" t="str">
        <f t="shared" si="10"/>
        <v>December</v>
      </c>
      <c r="T151" s="4">
        <f t="shared" si="11"/>
        <v>18574.240000000002</v>
      </c>
      <c r="U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row>
    <row r="152" spans="1:53" ht="19.95" customHeight="1">
      <c r="A152" s="4">
        <v>151</v>
      </c>
      <c r="B152" s="4" t="s">
        <v>493</v>
      </c>
      <c r="C152" s="4" t="s">
        <v>20</v>
      </c>
      <c r="D152" s="4" t="s">
        <v>38</v>
      </c>
      <c r="E152" s="4" t="s">
        <v>39</v>
      </c>
      <c r="F152" s="4" t="s">
        <v>293</v>
      </c>
      <c r="G152" s="4" t="s">
        <v>24</v>
      </c>
      <c r="H152" s="4" t="s">
        <v>25</v>
      </c>
      <c r="I152" s="4" t="s">
        <v>494</v>
      </c>
      <c r="J152" s="4" t="s">
        <v>495</v>
      </c>
      <c r="K152" s="5">
        <v>45147</v>
      </c>
      <c r="L152" s="5">
        <v>45375</v>
      </c>
      <c r="M152" s="5">
        <v>45388</v>
      </c>
      <c r="N152" s="6">
        <f t="shared" si="8"/>
        <v>13</v>
      </c>
      <c r="O152" s="4" t="s">
        <v>28</v>
      </c>
      <c r="P152" s="4">
        <v>4110.18</v>
      </c>
      <c r="Q152" s="4"/>
      <c r="R152" s="4" t="str">
        <f t="shared" si="9"/>
        <v>2024</v>
      </c>
      <c r="S152" s="4" t="str">
        <f t="shared" si="10"/>
        <v>March</v>
      </c>
      <c r="T152" s="4">
        <f t="shared" si="11"/>
        <v>4110.18</v>
      </c>
      <c r="U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row>
    <row r="153" spans="1:53" ht="19.95" customHeight="1">
      <c r="A153" s="4">
        <v>152</v>
      </c>
      <c r="B153" s="4" t="s">
        <v>496</v>
      </c>
      <c r="C153" s="4" t="s">
        <v>20</v>
      </c>
      <c r="D153" s="4" t="s">
        <v>56</v>
      </c>
      <c r="E153" s="4" t="s">
        <v>39</v>
      </c>
      <c r="F153" s="4" t="s">
        <v>24</v>
      </c>
      <c r="G153" s="4" t="s">
        <v>24</v>
      </c>
      <c r="H153" s="4" t="s">
        <v>25</v>
      </c>
      <c r="I153" s="4" t="s">
        <v>497</v>
      </c>
      <c r="J153" s="4" t="s">
        <v>202</v>
      </c>
      <c r="K153" s="5">
        <v>45146</v>
      </c>
      <c r="L153" s="5">
        <v>45150</v>
      </c>
      <c r="M153" s="5">
        <v>45151</v>
      </c>
      <c r="N153" s="6">
        <f t="shared" si="8"/>
        <v>1</v>
      </c>
      <c r="O153" s="4" t="s">
        <v>28</v>
      </c>
      <c r="P153" s="4">
        <v>427.58</v>
      </c>
      <c r="Q153" s="4"/>
      <c r="R153" s="4" t="str">
        <f t="shared" si="9"/>
        <v>2023</v>
      </c>
      <c r="S153" s="4" t="str">
        <f t="shared" si="10"/>
        <v>August</v>
      </c>
      <c r="T153" s="4">
        <f t="shared" si="11"/>
        <v>427.58</v>
      </c>
      <c r="U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row>
    <row r="154" spans="1:53" ht="19.95" customHeight="1">
      <c r="A154" s="4">
        <v>153</v>
      </c>
      <c r="B154" s="4" t="s">
        <v>498</v>
      </c>
      <c r="C154" s="4" t="s">
        <v>20</v>
      </c>
      <c r="D154" s="4" t="s">
        <v>301</v>
      </c>
      <c r="E154" s="4" t="s">
        <v>39</v>
      </c>
      <c r="F154" s="4" t="s">
        <v>223</v>
      </c>
      <c r="G154" s="4" t="s">
        <v>24</v>
      </c>
      <c r="H154" s="4" t="s">
        <v>224</v>
      </c>
      <c r="I154" s="4" t="s">
        <v>499</v>
      </c>
      <c r="J154" s="4" t="s">
        <v>500</v>
      </c>
      <c r="K154" s="5">
        <v>45146</v>
      </c>
      <c r="L154" s="5">
        <v>45147</v>
      </c>
      <c r="M154" s="5">
        <v>45148</v>
      </c>
      <c r="N154" s="6">
        <f t="shared" si="8"/>
        <v>1</v>
      </c>
      <c r="O154" s="4" t="s">
        <v>28</v>
      </c>
      <c r="P154" s="4">
        <v>156</v>
      </c>
      <c r="Q154" s="4"/>
      <c r="R154" s="4" t="str">
        <f t="shared" si="9"/>
        <v>2023</v>
      </c>
      <c r="S154" s="4" t="str">
        <f t="shared" si="10"/>
        <v>August</v>
      </c>
      <c r="T154" s="4">
        <f t="shared" si="11"/>
        <v>156</v>
      </c>
      <c r="U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row>
    <row r="155" spans="1:53" ht="19.95" customHeight="1">
      <c r="A155" s="4">
        <v>154</v>
      </c>
      <c r="B155" s="4" t="s">
        <v>501</v>
      </c>
      <c r="C155" s="4" t="s">
        <v>20</v>
      </c>
      <c r="D155" s="4" t="s">
        <v>21</v>
      </c>
      <c r="E155" s="4" t="s">
        <v>39</v>
      </c>
      <c r="F155" s="4" t="s">
        <v>23</v>
      </c>
      <c r="G155" s="4" t="s">
        <v>24</v>
      </c>
      <c r="H155" s="4" t="s">
        <v>25</v>
      </c>
      <c r="I155" s="4" t="s">
        <v>502</v>
      </c>
      <c r="J155" s="4" t="s">
        <v>503</v>
      </c>
      <c r="K155" s="5">
        <v>45145</v>
      </c>
      <c r="L155" s="5">
        <v>45251</v>
      </c>
      <c r="M155" s="5">
        <v>45264</v>
      </c>
      <c r="N155" s="6">
        <f t="shared" si="8"/>
        <v>13</v>
      </c>
      <c r="O155" s="4" t="s">
        <v>28</v>
      </c>
      <c r="P155" s="4">
        <v>3777.31</v>
      </c>
      <c r="Q155" s="4"/>
      <c r="R155" s="4" t="str">
        <f t="shared" si="9"/>
        <v>2023</v>
      </c>
      <c r="S155" s="4" t="str">
        <f t="shared" si="10"/>
        <v>November</v>
      </c>
      <c r="T155" s="4">
        <f t="shared" si="11"/>
        <v>3777.31</v>
      </c>
      <c r="U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row>
    <row r="156" spans="1:53" ht="19.95" customHeight="1">
      <c r="A156" s="4">
        <v>155</v>
      </c>
      <c r="B156" s="4" t="s">
        <v>504</v>
      </c>
      <c r="C156" s="4" t="s">
        <v>65</v>
      </c>
      <c r="D156" s="4" t="s">
        <v>38</v>
      </c>
      <c r="E156" s="4" t="s">
        <v>31</v>
      </c>
      <c r="F156" s="4" t="s">
        <v>285</v>
      </c>
      <c r="G156" s="4" t="s">
        <v>24</v>
      </c>
      <c r="H156" s="4" t="s">
        <v>286</v>
      </c>
      <c r="I156" s="4" t="s">
        <v>505</v>
      </c>
      <c r="J156" s="4" t="s">
        <v>506</v>
      </c>
      <c r="K156" s="5">
        <v>45144</v>
      </c>
      <c r="L156" s="5">
        <v>45142</v>
      </c>
      <c r="M156" s="5">
        <v>45142</v>
      </c>
      <c r="N156" s="6">
        <f t="shared" si="8"/>
        <v>0</v>
      </c>
      <c r="O156" s="4" t="s">
        <v>28</v>
      </c>
      <c r="P156" s="4">
        <v>783</v>
      </c>
      <c r="Q156" s="4"/>
      <c r="R156" s="4" t="str">
        <f t="shared" si="9"/>
        <v>2023</v>
      </c>
      <c r="S156" s="4" t="str">
        <f t="shared" si="10"/>
        <v>August</v>
      </c>
      <c r="T156" s="4">
        <f t="shared" si="11"/>
        <v>783</v>
      </c>
      <c r="U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row>
    <row r="157" spans="1:53" ht="19.95" customHeight="1">
      <c r="A157" s="4">
        <v>156</v>
      </c>
      <c r="B157" s="4" t="s">
        <v>507</v>
      </c>
      <c r="C157" s="4" t="s">
        <v>20</v>
      </c>
      <c r="D157" s="4" t="s">
        <v>21</v>
      </c>
      <c r="E157" s="4" t="s">
        <v>455</v>
      </c>
      <c r="F157" s="4" t="s">
        <v>23</v>
      </c>
      <c r="G157" s="4" t="s">
        <v>24</v>
      </c>
      <c r="H157" s="4" t="s">
        <v>25</v>
      </c>
      <c r="I157" s="4" t="s">
        <v>508</v>
      </c>
      <c r="J157" s="4" t="s">
        <v>509</v>
      </c>
      <c r="K157" s="5">
        <v>45140</v>
      </c>
      <c r="L157" s="5">
        <v>45313</v>
      </c>
      <c r="M157" s="5">
        <v>45333</v>
      </c>
      <c r="N157" s="6">
        <f t="shared" si="8"/>
        <v>20</v>
      </c>
      <c r="O157" s="4" t="s">
        <v>28</v>
      </c>
      <c r="P157" s="4">
        <v>15770.6</v>
      </c>
      <c r="Q157" s="4"/>
      <c r="R157" s="4" t="str">
        <f t="shared" si="9"/>
        <v>2024</v>
      </c>
      <c r="S157" s="4" t="str">
        <f t="shared" si="10"/>
        <v>January</v>
      </c>
      <c r="T157" s="4">
        <f t="shared" si="11"/>
        <v>15770.6</v>
      </c>
      <c r="U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row>
    <row r="158" spans="1:53" ht="19.95" customHeight="1">
      <c r="A158" s="4">
        <v>157</v>
      </c>
      <c r="B158" s="4" t="s">
        <v>510</v>
      </c>
      <c r="C158" s="4" t="s">
        <v>65</v>
      </c>
      <c r="D158" s="4" t="s">
        <v>21</v>
      </c>
      <c r="E158" s="4" t="s">
        <v>76</v>
      </c>
      <c r="F158" s="4" t="s">
        <v>48</v>
      </c>
      <c r="G158" s="4" t="s">
        <v>24</v>
      </c>
      <c r="H158" s="4" t="s">
        <v>49</v>
      </c>
      <c r="I158" s="4" t="s">
        <v>511</v>
      </c>
      <c r="J158" s="4" t="s">
        <v>512</v>
      </c>
      <c r="K158" s="5">
        <v>45140</v>
      </c>
      <c r="L158" s="5">
        <v>45247</v>
      </c>
      <c r="M158" s="5">
        <v>45262</v>
      </c>
      <c r="N158" s="6">
        <f t="shared" si="8"/>
        <v>15</v>
      </c>
      <c r="O158" s="4" t="s">
        <v>28</v>
      </c>
      <c r="P158" s="4">
        <v>10529.98</v>
      </c>
      <c r="Q158" s="4"/>
      <c r="R158" s="4" t="str">
        <f t="shared" si="9"/>
        <v>2023</v>
      </c>
      <c r="S158" s="4" t="str">
        <f t="shared" si="10"/>
        <v>November</v>
      </c>
      <c r="T158" s="4">
        <f t="shared" si="11"/>
        <v>10529.98</v>
      </c>
      <c r="U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row>
    <row r="159" spans="1:53" ht="19.95" customHeight="1">
      <c r="A159" s="4">
        <v>158</v>
      </c>
      <c r="B159" s="4" t="s">
        <v>513</v>
      </c>
      <c r="C159" s="4" t="s">
        <v>20</v>
      </c>
      <c r="D159" s="4" t="s">
        <v>56</v>
      </c>
      <c r="E159" s="4" t="s">
        <v>39</v>
      </c>
      <c r="F159" s="4" t="s">
        <v>48</v>
      </c>
      <c r="G159" s="4" t="s">
        <v>24</v>
      </c>
      <c r="H159" s="4" t="s">
        <v>49</v>
      </c>
      <c r="I159" s="4" t="s">
        <v>514</v>
      </c>
      <c r="J159" s="4" t="s">
        <v>515</v>
      </c>
      <c r="K159" s="5">
        <v>45137</v>
      </c>
      <c r="L159" s="5">
        <v>45276</v>
      </c>
      <c r="M159" s="5">
        <v>45298</v>
      </c>
      <c r="N159" s="6">
        <f t="shared" si="8"/>
        <v>22</v>
      </c>
      <c r="O159" s="4" t="s">
        <v>28</v>
      </c>
      <c r="P159" s="4">
        <v>7371.33</v>
      </c>
      <c r="Q159" s="4"/>
      <c r="R159" s="4" t="str">
        <f t="shared" si="9"/>
        <v>2023</v>
      </c>
      <c r="S159" s="4" t="str">
        <f t="shared" si="10"/>
        <v>December</v>
      </c>
      <c r="T159" s="4">
        <f t="shared" si="11"/>
        <v>7371.33</v>
      </c>
      <c r="U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row>
    <row r="160" spans="1:53" ht="19.95" customHeight="1">
      <c r="A160" s="4">
        <v>159</v>
      </c>
      <c r="B160" s="4" t="s">
        <v>516</v>
      </c>
      <c r="C160" s="4" t="s">
        <v>20</v>
      </c>
      <c r="D160" s="4" t="s">
        <v>21</v>
      </c>
      <c r="E160" s="4" t="s">
        <v>39</v>
      </c>
      <c r="F160" s="4" t="s">
        <v>23</v>
      </c>
      <c r="G160" s="4" t="s">
        <v>24</v>
      </c>
      <c r="H160" s="4" t="s">
        <v>25</v>
      </c>
      <c r="I160" s="4" t="s">
        <v>517</v>
      </c>
      <c r="J160" s="4" t="s">
        <v>518</v>
      </c>
      <c r="K160" s="5">
        <v>45135</v>
      </c>
      <c r="L160" s="5">
        <v>45239</v>
      </c>
      <c r="M160" s="5">
        <v>45255</v>
      </c>
      <c r="N160" s="6">
        <f t="shared" si="8"/>
        <v>16</v>
      </c>
      <c r="O160" s="4" t="s">
        <v>28</v>
      </c>
      <c r="P160" s="4">
        <v>6468.77</v>
      </c>
      <c r="Q160" s="4"/>
      <c r="R160" s="4" t="str">
        <f t="shared" si="9"/>
        <v>2023</v>
      </c>
      <c r="S160" s="4" t="str">
        <f t="shared" si="10"/>
        <v>November</v>
      </c>
      <c r="T160" s="4">
        <f t="shared" si="11"/>
        <v>6468.77</v>
      </c>
      <c r="U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row>
    <row r="161" spans="1:53" ht="19.95" customHeight="1">
      <c r="A161" s="4">
        <v>160</v>
      </c>
      <c r="B161" s="4" t="s">
        <v>519</v>
      </c>
      <c r="C161" s="4" t="s">
        <v>20</v>
      </c>
      <c r="D161" s="4" t="s">
        <v>21</v>
      </c>
      <c r="E161" s="4" t="s">
        <v>31</v>
      </c>
      <c r="F161" s="4" t="s">
        <v>48</v>
      </c>
      <c r="G161" s="4" t="s">
        <v>24</v>
      </c>
      <c r="H161" s="4" t="s">
        <v>49</v>
      </c>
      <c r="I161" s="4" t="s">
        <v>520</v>
      </c>
      <c r="J161" s="4" t="s">
        <v>521</v>
      </c>
      <c r="K161" s="5">
        <v>45133</v>
      </c>
      <c r="L161" s="5">
        <v>45147</v>
      </c>
      <c r="M161" s="5">
        <v>45159</v>
      </c>
      <c r="N161" s="6">
        <f t="shared" si="8"/>
        <v>12</v>
      </c>
      <c r="O161" s="4" t="s">
        <v>28</v>
      </c>
      <c r="P161" s="4">
        <v>2678.01</v>
      </c>
      <c r="Q161" s="4"/>
      <c r="R161" s="4" t="str">
        <f t="shared" si="9"/>
        <v>2023</v>
      </c>
      <c r="S161" s="4" t="str">
        <f t="shared" si="10"/>
        <v>August</v>
      </c>
      <c r="T161" s="4">
        <f t="shared" si="11"/>
        <v>2678.01</v>
      </c>
      <c r="U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row>
    <row r="162" spans="1:53" ht="19.95" customHeight="1">
      <c r="A162" s="4">
        <v>161</v>
      </c>
      <c r="B162" s="4" t="s">
        <v>522</v>
      </c>
      <c r="C162" s="4" t="s">
        <v>20</v>
      </c>
      <c r="D162" s="4" t="s">
        <v>21</v>
      </c>
      <c r="E162" s="4" t="s">
        <v>455</v>
      </c>
      <c r="F162" s="4" t="s">
        <v>23</v>
      </c>
      <c r="G162" s="4" t="s">
        <v>24</v>
      </c>
      <c r="H162" s="4" t="s">
        <v>25</v>
      </c>
      <c r="I162" s="4" t="s">
        <v>523</v>
      </c>
      <c r="J162" s="4" t="s">
        <v>524</v>
      </c>
      <c r="K162" s="5">
        <v>45133</v>
      </c>
      <c r="L162" s="5">
        <v>45319</v>
      </c>
      <c r="M162" s="5">
        <v>45333</v>
      </c>
      <c r="N162" s="6">
        <f t="shared" si="8"/>
        <v>14</v>
      </c>
      <c r="O162" s="4" t="s">
        <v>28</v>
      </c>
      <c r="P162" s="4">
        <v>8108.61</v>
      </c>
      <c r="Q162" s="4"/>
      <c r="R162" s="4" t="str">
        <f t="shared" si="9"/>
        <v>2024</v>
      </c>
      <c r="S162" s="4" t="str">
        <f t="shared" si="10"/>
        <v>January</v>
      </c>
      <c r="T162" s="4">
        <f t="shared" si="11"/>
        <v>8108.61</v>
      </c>
      <c r="U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row>
    <row r="163" spans="1:53" ht="19.95" customHeight="1">
      <c r="A163" s="4">
        <v>162</v>
      </c>
      <c r="B163" s="4" t="s">
        <v>525</v>
      </c>
      <c r="C163" s="4" t="s">
        <v>20</v>
      </c>
      <c r="D163" s="4" t="s">
        <v>21</v>
      </c>
      <c r="E163" s="4" t="s">
        <v>39</v>
      </c>
      <c r="F163" s="4" t="s">
        <v>48</v>
      </c>
      <c r="G163" s="4" t="s">
        <v>24</v>
      </c>
      <c r="H163" s="4" t="s">
        <v>49</v>
      </c>
      <c r="I163" s="4" t="s">
        <v>526</v>
      </c>
      <c r="J163" s="4" t="s">
        <v>527</v>
      </c>
      <c r="K163" s="5">
        <v>45133</v>
      </c>
      <c r="L163" s="5">
        <v>45276</v>
      </c>
      <c r="M163" s="5">
        <v>45299</v>
      </c>
      <c r="N163" s="6">
        <f t="shared" si="8"/>
        <v>23</v>
      </c>
      <c r="O163" s="4" t="s">
        <v>28</v>
      </c>
      <c r="P163" s="4">
        <v>9096.7000000000007</v>
      </c>
      <c r="Q163" s="4"/>
      <c r="R163" s="4" t="str">
        <f t="shared" si="9"/>
        <v>2023</v>
      </c>
      <c r="S163" s="4" t="str">
        <f t="shared" si="10"/>
        <v>December</v>
      </c>
      <c r="T163" s="4">
        <f t="shared" si="11"/>
        <v>9096.7000000000007</v>
      </c>
      <c r="U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row>
    <row r="164" spans="1:53" ht="19.95" customHeight="1">
      <c r="A164" s="4">
        <v>163</v>
      </c>
      <c r="B164" s="4" t="s">
        <v>528</v>
      </c>
      <c r="C164" s="4" t="s">
        <v>20</v>
      </c>
      <c r="D164" s="4" t="s">
        <v>21</v>
      </c>
      <c r="E164" s="4" t="s">
        <v>455</v>
      </c>
      <c r="F164" s="4" t="s">
        <v>23</v>
      </c>
      <c r="G164" s="4" t="s">
        <v>24</v>
      </c>
      <c r="H164" s="4" t="s">
        <v>25</v>
      </c>
      <c r="I164" s="4" t="s">
        <v>529</v>
      </c>
      <c r="J164" s="4" t="s">
        <v>530</v>
      </c>
      <c r="K164" s="5">
        <v>45133</v>
      </c>
      <c r="L164" s="5">
        <v>45289</v>
      </c>
      <c r="M164" s="5">
        <v>45303</v>
      </c>
      <c r="N164" s="6">
        <f t="shared" si="8"/>
        <v>14</v>
      </c>
      <c r="O164" s="4" t="s">
        <v>28</v>
      </c>
      <c r="P164" s="4">
        <v>6128.38</v>
      </c>
      <c r="Q164" s="4"/>
      <c r="R164" s="4" t="str">
        <f t="shared" si="9"/>
        <v>2023</v>
      </c>
      <c r="S164" s="4" t="str">
        <f t="shared" si="10"/>
        <v>December</v>
      </c>
      <c r="T164" s="4">
        <f t="shared" si="11"/>
        <v>6128.38</v>
      </c>
      <c r="U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row>
    <row r="165" spans="1:53" ht="19.95" customHeight="1">
      <c r="A165" s="4">
        <v>164</v>
      </c>
      <c r="B165" s="4" t="s">
        <v>531</v>
      </c>
      <c r="C165" s="4" t="s">
        <v>20</v>
      </c>
      <c r="D165" s="4" t="s">
        <v>56</v>
      </c>
      <c r="E165" s="4" t="s">
        <v>39</v>
      </c>
      <c r="F165" s="4" t="s">
        <v>23</v>
      </c>
      <c r="G165" s="4" t="s">
        <v>24</v>
      </c>
      <c r="H165" s="4" t="s">
        <v>25</v>
      </c>
      <c r="I165" s="4" t="s">
        <v>532</v>
      </c>
      <c r="J165" s="4" t="s">
        <v>533</v>
      </c>
      <c r="K165" s="5">
        <v>45133</v>
      </c>
      <c r="L165" s="5">
        <v>45155</v>
      </c>
      <c r="M165" s="5">
        <v>45162</v>
      </c>
      <c r="N165" s="6">
        <f t="shared" si="8"/>
        <v>7</v>
      </c>
      <c r="O165" s="4" t="s">
        <v>28</v>
      </c>
      <c r="P165" s="4">
        <v>5602.4</v>
      </c>
      <c r="Q165" s="4"/>
      <c r="R165" s="4" t="str">
        <f t="shared" si="9"/>
        <v>2023</v>
      </c>
      <c r="S165" s="4" t="str">
        <f t="shared" si="10"/>
        <v>August</v>
      </c>
      <c r="T165" s="4">
        <f t="shared" si="11"/>
        <v>5602.4</v>
      </c>
      <c r="U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row>
    <row r="166" spans="1:53" ht="19.95" customHeight="1">
      <c r="A166" s="4">
        <v>165</v>
      </c>
      <c r="B166" s="4" t="s">
        <v>534</v>
      </c>
      <c r="C166" s="4" t="s">
        <v>20</v>
      </c>
      <c r="D166" s="4" t="s">
        <v>56</v>
      </c>
      <c r="E166" s="4" t="s">
        <v>39</v>
      </c>
      <c r="F166" s="4" t="s">
        <v>23</v>
      </c>
      <c r="G166" s="4" t="s">
        <v>24</v>
      </c>
      <c r="H166" s="4" t="s">
        <v>25</v>
      </c>
      <c r="I166" s="4" t="s">
        <v>535</v>
      </c>
      <c r="J166" s="4" t="s">
        <v>536</v>
      </c>
      <c r="K166" s="5">
        <v>45129</v>
      </c>
      <c r="L166" s="5">
        <v>45162</v>
      </c>
      <c r="M166" s="5">
        <v>45175</v>
      </c>
      <c r="N166" s="6">
        <f t="shared" si="8"/>
        <v>13</v>
      </c>
      <c r="O166" s="4" t="s">
        <v>28</v>
      </c>
      <c r="P166" s="4">
        <v>6517.1</v>
      </c>
      <c r="Q166" s="4"/>
      <c r="R166" s="4" t="str">
        <f t="shared" si="9"/>
        <v>2023</v>
      </c>
      <c r="S166" s="4" t="str">
        <f t="shared" si="10"/>
        <v>August</v>
      </c>
      <c r="T166" s="4">
        <f t="shared" si="11"/>
        <v>6517.1</v>
      </c>
      <c r="U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row>
    <row r="167" spans="1:53" ht="19.95" customHeight="1">
      <c r="A167" s="4">
        <v>166</v>
      </c>
      <c r="B167" s="4" t="s">
        <v>537</v>
      </c>
      <c r="C167" s="4" t="s">
        <v>20</v>
      </c>
      <c r="D167" s="4" t="s">
        <v>21</v>
      </c>
      <c r="E167" s="4" t="s">
        <v>455</v>
      </c>
      <c r="F167" s="4" t="s">
        <v>43</v>
      </c>
      <c r="G167" s="4" t="s">
        <v>24</v>
      </c>
      <c r="H167" s="4" t="s">
        <v>44</v>
      </c>
      <c r="I167" s="4" t="s">
        <v>538</v>
      </c>
      <c r="J167" s="4" t="s">
        <v>539</v>
      </c>
      <c r="K167" s="5">
        <v>45128</v>
      </c>
      <c r="L167" s="5">
        <v>45138</v>
      </c>
      <c r="M167" s="5">
        <v>45142</v>
      </c>
      <c r="N167" s="6">
        <f t="shared" si="8"/>
        <v>4</v>
      </c>
      <c r="O167" s="4" t="s">
        <v>28</v>
      </c>
      <c r="P167" s="4">
        <v>939.43</v>
      </c>
      <c r="Q167" s="4"/>
      <c r="R167" s="4" t="str">
        <f t="shared" si="9"/>
        <v>2023</v>
      </c>
      <c r="S167" s="4" t="str">
        <f t="shared" si="10"/>
        <v>July</v>
      </c>
      <c r="T167" s="4">
        <f t="shared" si="11"/>
        <v>939.43</v>
      </c>
      <c r="U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row>
    <row r="168" spans="1:53" ht="19.95" customHeight="1">
      <c r="A168" s="4">
        <v>167</v>
      </c>
      <c r="B168" s="4" t="s">
        <v>540</v>
      </c>
      <c r="C168" s="4" t="s">
        <v>20</v>
      </c>
      <c r="D168" s="4" t="s">
        <v>21</v>
      </c>
      <c r="E168" s="4" t="s">
        <v>31</v>
      </c>
      <c r="F168" s="4" t="s">
        <v>23</v>
      </c>
      <c r="G168" s="4" t="s">
        <v>24</v>
      </c>
      <c r="H168" s="4" t="s">
        <v>25</v>
      </c>
      <c r="I168" s="4" t="s">
        <v>541</v>
      </c>
      <c r="J168" s="4" t="s">
        <v>542</v>
      </c>
      <c r="K168" s="5">
        <v>45127</v>
      </c>
      <c r="L168" s="5">
        <v>45120</v>
      </c>
      <c r="M168" s="5">
        <v>45348</v>
      </c>
      <c r="N168" s="6">
        <f t="shared" si="8"/>
        <v>228</v>
      </c>
      <c r="O168" s="4" t="s">
        <v>28</v>
      </c>
      <c r="P168" s="4">
        <v>4973.34</v>
      </c>
      <c r="Q168" s="4"/>
      <c r="R168" s="4" t="str">
        <f t="shared" si="9"/>
        <v>2023</v>
      </c>
      <c r="S168" s="4" t="str">
        <f t="shared" si="10"/>
        <v>July</v>
      </c>
      <c r="T168" s="4">
        <f t="shared" si="11"/>
        <v>4973.34</v>
      </c>
      <c r="U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row>
    <row r="169" spans="1:53" ht="19.95" customHeight="1">
      <c r="A169" s="4">
        <v>168</v>
      </c>
      <c r="B169" s="4" t="s">
        <v>543</v>
      </c>
      <c r="C169" s="4" t="s">
        <v>20</v>
      </c>
      <c r="D169" s="4" t="s">
        <v>21</v>
      </c>
      <c r="E169" s="4" t="s">
        <v>455</v>
      </c>
      <c r="F169" s="4" t="s">
        <v>23</v>
      </c>
      <c r="G169" s="4" t="s">
        <v>24</v>
      </c>
      <c r="H169" s="4" t="s">
        <v>25</v>
      </c>
      <c r="I169" s="4" t="s">
        <v>544</v>
      </c>
      <c r="J169" s="4" t="s">
        <v>545</v>
      </c>
      <c r="K169" s="5">
        <v>45126</v>
      </c>
      <c r="L169" s="5">
        <v>45360</v>
      </c>
      <c r="M169" s="5">
        <v>45374</v>
      </c>
      <c r="N169" s="6">
        <f t="shared" si="8"/>
        <v>14</v>
      </c>
      <c r="O169" s="4" t="s">
        <v>28</v>
      </c>
      <c r="P169" s="4">
        <v>11505.35</v>
      </c>
      <c r="Q169" s="4"/>
      <c r="R169" s="4" t="str">
        <f t="shared" si="9"/>
        <v>2024</v>
      </c>
      <c r="S169" s="4" t="str">
        <f t="shared" si="10"/>
        <v>March</v>
      </c>
      <c r="T169" s="4">
        <f t="shared" si="11"/>
        <v>11505.35</v>
      </c>
      <c r="U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row>
    <row r="170" spans="1:53" ht="19.95" customHeight="1">
      <c r="A170" s="4">
        <v>169</v>
      </c>
      <c r="B170" s="4" t="s">
        <v>546</v>
      </c>
      <c r="C170" s="4" t="s">
        <v>20</v>
      </c>
      <c r="D170" s="4" t="s">
        <v>21</v>
      </c>
      <c r="E170" s="4" t="s">
        <v>39</v>
      </c>
      <c r="F170" s="4" t="s">
        <v>48</v>
      </c>
      <c r="G170" s="4" t="s">
        <v>24</v>
      </c>
      <c r="H170" s="4" t="s">
        <v>49</v>
      </c>
      <c r="I170" s="4" t="s">
        <v>547</v>
      </c>
      <c r="J170" s="4" t="s">
        <v>548</v>
      </c>
      <c r="K170" s="5">
        <v>45121</v>
      </c>
      <c r="L170" s="5">
        <v>45307</v>
      </c>
      <c r="M170" s="5">
        <v>45319</v>
      </c>
      <c r="N170" s="6">
        <f t="shared" si="8"/>
        <v>12</v>
      </c>
      <c r="O170" s="4" t="s">
        <v>28</v>
      </c>
      <c r="P170" s="4">
        <v>2474.7199999999998</v>
      </c>
      <c r="Q170" s="4"/>
      <c r="R170" s="4" t="str">
        <f t="shared" si="9"/>
        <v>2024</v>
      </c>
      <c r="S170" s="4" t="str">
        <f t="shared" si="10"/>
        <v>January</v>
      </c>
      <c r="T170" s="4">
        <f t="shared" si="11"/>
        <v>2474.7199999999998</v>
      </c>
      <c r="U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row>
    <row r="171" spans="1:53" ht="19.95" customHeight="1">
      <c r="A171" s="4">
        <v>170</v>
      </c>
      <c r="B171" s="4" t="s">
        <v>549</v>
      </c>
      <c r="C171" s="4" t="s">
        <v>20</v>
      </c>
      <c r="D171" s="4" t="s">
        <v>21</v>
      </c>
      <c r="E171" s="4" t="s">
        <v>39</v>
      </c>
      <c r="F171" s="4" t="s">
        <v>48</v>
      </c>
      <c r="G171" s="4" t="s">
        <v>24</v>
      </c>
      <c r="H171" s="4" t="s">
        <v>49</v>
      </c>
      <c r="I171" s="4" t="s">
        <v>550</v>
      </c>
      <c r="J171" s="4" t="s">
        <v>551</v>
      </c>
      <c r="K171" s="5">
        <v>45119</v>
      </c>
      <c r="L171" s="5">
        <v>45232</v>
      </c>
      <c r="M171" s="5">
        <v>45249</v>
      </c>
      <c r="N171" s="6">
        <f t="shared" si="8"/>
        <v>17</v>
      </c>
      <c r="O171" s="4" t="s">
        <v>28</v>
      </c>
      <c r="P171" s="4">
        <v>8070.05</v>
      </c>
      <c r="Q171" s="4"/>
      <c r="R171" s="4" t="str">
        <f t="shared" si="9"/>
        <v>2023</v>
      </c>
      <c r="S171" s="4" t="str">
        <f t="shared" si="10"/>
        <v>November</v>
      </c>
      <c r="T171" s="4">
        <f t="shared" si="11"/>
        <v>8070.05</v>
      </c>
      <c r="U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row>
    <row r="172" spans="1:53" ht="19.95" customHeight="1">
      <c r="A172" s="4">
        <v>171</v>
      </c>
      <c r="B172" s="4" t="s">
        <v>552</v>
      </c>
      <c r="C172" s="4" t="s">
        <v>65</v>
      </c>
      <c r="D172" s="4" t="s">
        <v>56</v>
      </c>
      <c r="E172" s="4" t="s">
        <v>39</v>
      </c>
      <c r="F172" s="4" t="s">
        <v>96</v>
      </c>
      <c r="G172" s="4" t="s">
        <v>24</v>
      </c>
      <c r="H172" s="4" t="s">
        <v>97</v>
      </c>
      <c r="I172" s="4" t="s">
        <v>553</v>
      </c>
      <c r="J172" s="4" t="s">
        <v>554</v>
      </c>
      <c r="K172" s="5">
        <v>45119</v>
      </c>
      <c r="L172" s="5">
        <v>45210</v>
      </c>
      <c r="M172" s="5">
        <v>45220</v>
      </c>
      <c r="N172" s="6">
        <f t="shared" si="8"/>
        <v>10</v>
      </c>
      <c r="O172" s="4" t="s">
        <v>28</v>
      </c>
      <c r="P172" s="4">
        <v>5796.1</v>
      </c>
      <c r="Q172" s="4"/>
      <c r="R172" s="4" t="str">
        <f t="shared" si="9"/>
        <v>2023</v>
      </c>
      <c r="S172" s="4" t="str">
        <f t="shared" si="10"/>
        <v>October</v>
      </c>
      <c r="T172" s="4">
        <f t="shared" si="11"/>
        <v>5796.1</v>
      </c>
      <c r="U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row>
    <row r="173" spans="1:53" ht="19.95" customHeight="1">
      <c r="A173" s="4">
        <v>172</v>
      </c>
      <c r="B173" s="4" t="s">
        <v>555</v>
      </c>
      <c r="C173" s="4" t="s">
        <v>20</v>
      </c>
      <c r="D173" s="4" t="s">
        <v>56</v>
      </c>
      <c r="E173" s="4" t="s">
        <v>39</v>
      </c>
      <c r="F173" s="4" t="s">
        <v>23</v>
      </c>
      <c r="G173" s="4" t="s">
        <v>24</v>
      </c>
      <c r="H173" s="4" t="s">
        <v>25</v>
      </c>
      <c r="I173" s="4" t="s">
        <v>556</v>
      </c>
      <c r="J173" s="4" t="s">
        <v>557</v>
      </c>
      <c r="K173" s="5">
        <v>45119</v>
      </c>
      <c r="L173" s="5">
        <v>45158</v>
      </c>
      <c r="M173" s="5">
        <v>45168</v>
      </c>
      <c r="N173" s="6">
        <f t="shared" si="8"/>
        <v>10</v>
      </c>
      <c r="O173" s="4" t="s">
        <v>28</v>
      </c>
      <c r="P173" s="4">
        <v>17224.36</v>
      </c>
      <c r="Q173" s="4"/>
      <c r="R173" s="4" t="str">
        <f t="shared" si="9"/>
        <v>2023</v>
      </c>
      <c r="S173" s="4" t="str">
        <f t="shared" si="10"/>
        <v>August</v>
      </c>
      <c r="T173" s="4">
        <f t="shared" si="11"/>
        <v>17224.36</v>
      </c>
      <c r="U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row>
    <row r="174" spans="1:53" ht="19.95" customHeight="1">
      <c r="A174" s="4">
        <v>173</v>
      </c>
      <c r="B174" s="4" t="s">
        <v>558</v>
      </c>
      <c r="C174" s="4" t="s">
        <v>20</v>
      </c>
      <c r="D174" s="4" t="s">
        <v>21</v>
      </c>
      <c r="E174" s="4" t="s">
        <v>455</v>
      </c>
      <c r="F174" s="4" t="s">
        <v>23</v>
      </c>
      <c r="G174" s="4" t="s">
        <v>24</v>
      </c>
      <c r="H174" s="4" t="s">
        <v>44</v>
      </c>
      <c r="I174" s="4" t="s">
        <v>559</v>
      </c>
      <c r="J174" s="4" t="s">
        <v>560</v>
      </c>
      <c r="K174" s="5">
        <v>45118</v>
      </c>
      <c r="L174" s="5">
        <v>45235</v>
      </c>
      <c r="M174" s="5">
        <v>45251</v>
      </c>
      <c r="N174" s="6">
        <f t="shared" si="8"/>
        <v>16</v>
      </c>
      <c r="O174" s="4" t="s">
        <v>28</v>
      </c>
      <c r="P174" s="4">
        <v>7097.52</v>
      </c>
      <c r="Q174" s="4"/>
      <c r="R174" s="4" t="str">
        <f t="shared" si="9"/>
        <v>2023</v>
      </c>
      <c r="S174" s="4" t="str">
        <f t="shared" si="10"/>
        <v>November</v>
      </c>
      <c r="T174" s="4">
        <f t="shared" si="11"/>
        <v>7097.52</v>
      </c>
      <c r="U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row>
    <row r="175" spans="1:53" ht="19.95" customHeight="1">
      <c r="A175" s="4">
        <v>174</v>
      </c>
      <c r="B175" s="4" t="s">
        <v>561</v>
      </c>
      <c r="C175" s="4" t="s">
        <v>65</v>
      </c>
      <c r="D175" s="4" t="s">
        <v>21</v>
      </c>
      <c r="E175" s="4" t="s">
        <v>161</v>
      </c>
      <c r="F175" s="4" t="s">
        <v>48</v>
      </c>
      <c r="G175" s="4" t="s">
        <v>24</v>
      </c>
      <c r="H175" s="4" t="s">
        <v>49</v>
      </c>
      <c r="I175" s="4" t="s">
        <v>562</v>
      </c>
      <c r="J175" s="4" t="s">
        <v>563</v>
      </c>
      <c r="K175" s="5">
        <v>45115</v>
      </c>
      <c r="L175" s="5">
        <v>45292</v>
      </c>
      <c r="M175" s="5">
        <v>45308</v>
      </c>
      <c r="N175" s="6">
        <f t="shared" si="8"/>
        <v>16</v>
      </c>
      <c r="O175" s="4" t="s">
        <v>28</v>
      </c>
      <c r="P175" s="4">
        <v>26700.46</v>
      </c>
      <c r="Q175" s="4"/>
      <c r="R175" s="4" t="str">
        <f t="shared" si="9"/>
        <v>2024</v>
      </c>
      <c r="S175" s="4" t="str">
        <f t="shared" si="10"/>
        <v>January</v>
      </c>
      <c r="T175" s="4">
        <f t="shared" si="11"/>
        <v>26700.46</v>
      </c>
      <c r="U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row>
    <row r="176" spans="1:53" ht="19.95" customHeight="1">
      <c r="A176" s="4">
        <v>175</v>
      </c>
      <c r="B176" s="4" t="s">
        <v>564</v>
      </c>
      <c r="C176" s="4" t="s">
        <v>20</v>
      </c>
      <c r="D176" s="4" t="s">
        <v>21</v>
      </c>
      <c r="E176" s="4" t="s">
        <v>455</v>
      </c>
      <c r="F176" s="4" t="s">
        <v>23</v>
      </c>
      <c r="G176" s="4" t="s">
        <v>24</v>
      </c>
      <c r="H176" s="4" t="s">
        <v>25</v>
      </c>
      <c r="I176" s="4" t="s">
        <v>565</v>
      </c>
      <c r="J176" s="4" t="s">
        <v>566</v>
      </c>
      <c r="K176" s="5">
        <v>45114</v>
      </c>
      <c r="L176" s="5">
        <v>45134</v>
      </c>
      <c r="M176" s="5">
        <v>45146</v>
      </c>
      <c r="N176" s="6">
        <f t="shared" si="8"/>
        <v>12</v>
      </c>
      <c r="O176" s="4" t="s">
        <v>28</v>
      </c>
      <c r="P176" s="4">
        <v>1320</v>
      </c>
      <c r="Q176" s="4"/>
      <c r="R176" s="4" t="str">
        <f t="shared" si="9"/>
        <v>2023</v>
      </c>
      <c r="S176" s="4" t="str">
        <f t="shared" si="10"/>
        <v>July</v>
      </c>
      <c r="T176" s="4">
        <f t="shared" si="11"/>
        <v>1320</v>
      </c>
      <c r="U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row>
    <row r="177" spans="1:53" ht="19.95" customHeight="1">
      <c r="A177" s="4">
        <v>176</v>
      </c>
      <c r="B177" s="4" t="s">
        <v>567</v>
      </c>
      <c r="C177" s="4" t="s">
        <v>20</v>
      </c>
      <c r="D177" s="4" t="s">
        <v>21</v>
      </c>
      <c r="E177" s="4" t="s">
        <v>76</v>
      </c>
      <c r="F177" s="4" t="s">
        <v>23</v>
      </c>
      <c r="G177" s="4" t="s">
        <v>24</v>
      </c>
      <c r="H177" s="4" t="s">
        <v>25</v>
      </c>
      <c r="I177" s="4" t="s">
        <v>568</v>
      </c>
      <c r="J177" s="4" t="s">
        <v>569</v>
      </c>
      <c r="K177" s="5">
        <v>45112</v>
      </c>
      <c r="L177" s="5">
        <v>45162</v>
      </c>
      <c r="M177" s="5">
        <v>45178</v>
      </c>
      <c r="N177" s="6">
        <f t="shared" si="8"/>
        <v>16</v>
      </c>
      <c r="O177" s="4" t="s">
        <v>28</v>
      </c>
      <c r="P177" s="4">
        <v>4592.7700000000004</v>
      </c>
      <c r="Q177" s="4"/>
      <c r="R177" s="4" t="str">
        <f t="shared" si="9"/>
        <v>2023</v>
      </c>
      <c r="S177" s="4" t="str">
        <f t="shared" si="10"/>
        <v>August</v>
      </c>
      <c r="T177" s="4">
        <f t="shared" si="11"/>
        <v>4592.7700000000004</v>
      </c>
      <c r="U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row>
    <row r="178" spans="1:53" ht="19.95" customHeight="1">
      <c r="A178" s="4">
        <v>177</v>
      </c>
      <c r="B178" s="4" t="s">
        <v>570</v>
      </c>
      <c r="C178" s="4" t="s">
        <v>20</v>
      </c>
      <c r="D178" s="4" t="s">
        <v>56</v>
      </c>
      <c r="E178" s="4" t="s">
        <v>31</v>
      </c>
      <c r="F178" s="4" t="s">
        <v>23</v>
      </c>
      <c r="G178" s="4" t="s">
        <v>24</v>
      </c>
      <c r="H178" s="4" t="s">
        <v>25</v>
      </c>
      <c r="I178" s="4" t="s">
        <v>571</v>
      </c>
      <c r="J178" s="4" t="s">
        <v>572</v>
      </c>
      <c r="K178" s="5">
        <v>45111</v>
      </c>
      <c r="L178" s="5">
        <v>45344</v>
      </c>
      <c r="M178" s="5">
        <v>45361</v>
      </c>
      <c r="N178" s="6">
        <f t="shared" si="8"/>
        <v>17</v>
      </c>
      <c r="O178" s="4" t="s">
        <v>28</v>
      </c>
      <c r="P178" s="4">
        <v>13980.06</v>
      </c>
      <c r="Q178" s="4"/>
      <c r="R178" s="4" t="str">
        <f t="shared" si="9"/>
        <v>2024</v>
      </c>
      <c r="S178" s="4" t="str">
        <f t="shared" si="10"/>
        <v>February</v>
      </c>
      <c r="T178" s="4">
        <f t="shared" si="11"/>
        <v>13980.06</v>
      </c>
      <c r="U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row>
    <row r="179" spans="1:53" ht="19.95" customHeight="1">
      <c r="A179" s="4">
        <v>178</v>
      </c>
      <c r="B179" s="4" t="s">
        <v>573</v>
      </c>
      <c r="C179" s="4" t="s">
        <v>20</v>
      </c>
      <c r="D179" s="4" t="s">
        <v>56</v>
      </c>
      <c r="E179" s="4" t="s">
        <v>455</v>
      </c>
      <c r="F179" s="4" t="s">
        <v>23</v>
      </c>
      <c r="G179" s="4" t="s">
        <v>24</v>
      </c>
      <c r="H179" s="4" t="s">
        <v>25</v>
      </c>
      <c r="I179" s="4" t="s">
        <v>574</v>
      </c>
      <c r="J179" s="4" t="s">
        <v>575</v>
      </c>
      <c r="K179" s="5">
        <v>45107</v>
      </c>
      <c r="L179" s="5">
        <v>45255</v>
      </c>
      <c r="M179" s="5">
        <v>45264</v>
      </c>
      <c r="N179" s="6">
        <f t="shared" si="8"/>
        <v>9</v>
      </c>
      <c r="O179" s="4" t="s">
        <v>28</v>
      </c>
      <c r="P179" s="4">
        <v>7952.79</v>
      </c>
      <c r="Q179" s="4"/>
      <c r="R179" s="4" t="str">
        <f t="shared" si="9"/>
        <v>2023</v>
      </c>
      <c r="S179" s="4" t="str">
        <f t="shared" si="10"/>
        <v>November</v>
      </c>
      <c r="T179" s="4">
        <f t="shared" si="11"/>
        <v>7952.79</v>
      </c>
      <c r="U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row>
    <row r="180" spans="1:53" ht="19.95" customHeight="1">
      <c r="A180" s="4">
        <v>179</v>
      </c>
      <c r="B180" s="4" t="s">
        <v>576</v>
      </c>
      <c r="C180" s="4" t="s">
        <v>20</v>
      </c>
      <c r="D180" s="4" t="s">
        <v>38</v>
      </c>
      <c r="E180" s="4" t="s">
        <v>39</v>
      </c>
      <c r="F180" s="4" t="s">
        <v>23</v>
      </c>
      <c r="G180" s="4" t="s">
        <v>24</v>
      </c>
      <c r="H180" s="4" t="s">
        <v>25</v>
      </c>
      <c r="I180" s="4" t="s">
        <v>577</v>
      </c>
      <c r="J180" s="4" t="s">
        <v>578</v>
      </c>
      <c r="K180" s="5">
        <v>45106</v>
      </c>
      <c r="L180" s="5">
        <v>45321</v>
      </c>
      <c r="M180" s="5">
        <v>45350</v>
      </c>
      <c r="N180" s="6">
        <f t="shared" si="8"/>
        <v>29</v>
      </c>
      <c r="O180" s="4" t="s">
        <v>28</v>
      </c>
      <c r="P180" s="4">
        <v>12565.12</v>
      </c>
      <c r="Q180" s="4"/>
      <c r="R180" s="4" t="str">
        <f t="shared" si="9"/>
        <v>2024</v>
      </c>
      <c r="S180" s="4" t="str">
        <f t="shared" si="10"/>
        <v>January</v>
      </c>
      <c r="T180" s="4">
        <f t="shared" si="11"/>
        <v>12565.12</v>
      </c>
      <c r="U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row>
    <row r="181" spans="1:53" ht="19.95" customHeight="1">
      <c r="A181" s="4">
        <v>180</v>
      </c>
      <c r="B181" s="4" t="s">
        <v>579</v>
      </c>
      <c r="C181" s="4" t="s">
        <v>20</v>
      </c>
      <c r="D181" s="4" t="s">
        <v>21</v>
      </c>
      <c r="E181" s="4" t="s">
        <v>39</v>
      </c>
      <c r="F181" s="4" t="s">
        <v>23</v>
      </c>
      <c r="G181" s="4" t="s">
        <v>24</v>
      </c>
      <c r="H181" s="4" t="s">
        <v>25</v>
      </c>
      <c r="I181" s="4" t="s">
        <v>580</v>
      </c>
      <c r="J181" s="4" t="s">
        <v>581</v>
      </c>
      <c r="K181" s="5">
        <v>45106</v>
      </c>
      <c r="L181" s="5">
        <v>45290</v>
      </c>
      <c r="M181" s="5">
        <v>45304</v>
      </c>
      <c r="N181" s="6">
        <f t="shared" si="8"/>
        <v>14</v>
      </c>
      <c r="O181" s="4" t="s">
        <v>28</v>
      </c>
      <c r="P181" s="4">
        <v>7570.59</v>
      </c>
      <c r="Q181" s="4"/>
      <c r="R181" s="4" t="str">
        <f t="shared" si="9"/>
        <v>2023</v>
      </c>
      <c r="S181" s="4" t="str">
        <f t="shared" si="10"/>
        <v>December</v>
      </c>
      <c r="T181" s="4">
        <f t="shared" si="11"/>
        <v>7570.59</v>
      </c>
      <c r="U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row>
    <row r="182" spans="1:53" ht="19.95" customHeight="1">
      <c r="A182" s="4">
        <v>181</v>
      </c>
      <c r="B182" s="4" t="s">
        <v>582</v>
      </c>
      <c r="C182" s="4" t="s">
        <v>20</v>
      </c>
      <c r="D182" s="4" t="s">
        <v>56</v>
      </c>
      <c r="E182" s="4" t="s">
        <v>39</v>
      </c>
      <c r="F182" s="4" t="s">
        <v>23</v>
      </c>
      <c r="G182" s="4" t="s">
        <v>24</v>
      </c>
      <c r="H182" s="4" t="s">
        <v>25</v>
      </c>
      <c r="I182" s="4" t="s">
        <v>583</v>
      </c>
      <c r="J182" s="4" t="s">
        <v>584</v>
      </c>
      <c r="K182" s="5">
        <v>45106</v>
      </c>
      <c r="L182" s="5">
        <v>45140</v>
      </c>
      <c r="M182" s="5">
        <v>45156</v>
      </c>
      <c r="N182" s="6">
        <f t="shared" si="8"/>
        <v>16</v>
      </c>
      <c r="O182" s="4" t="s">
        <v>28</v>
      </c>
      <c r="P182" s="4">
        <v>9355.3700000000008</v>
      </c>
      <c r="Q182" s="4"/>
      <c r="R182" s="4" t="str">
        <f t="shared" si="9"/>
        <v>2023</v>
      </c>
      <c r="S182" s="4" t="str">
        <f t="shared" si="10"/>
        <v>August</v>
      </c>
      <c r="T182" s="4">
        <f t="shared" si="11"/>
        <v>9355.3700000000008</v>
      </c>
      <c r="U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row>
    <row r="183" spans="1:53" ht="19.95" customHeight="1">
      <c r="A183" s="4">
        <v>182</v>
      </c>
      <c r="B183" s="4" t="s">
        <v>585</v>
      </c>
      <c r="C183" s="4" t="s">
        <v>20</v>
      </c>
      <c r="D183" s="4" t="s">
        <v>21</v>
      </c>
      <c r="E183" s="4" t="s">
        <v>31</v>
      </c>
      <c r="F183" s="4" t="s">
        <v>253</v>
      </c>
      <c r="G183" s="4" t="s">
        <v>24</v>
      </c>
      <c r="H183" s="4" t="s">
        <v>254</v>
      </c>
      <c r="I183" s="4" t="s">
        <v>586</v>
      </c>
      <c r="J183" s="4" t="s">
        <v>587</v>
      </c>
      <c r="K183" s="5">
        <v>45105</v>
      </c>
      <c r="L183" s="5">
        <v>45118</v>
      </c>
      <c r="M183" s="5">
        <v>45129</v>
      </c>
      <c r="N183" s="6">
        <f t="shared" si="8"/>
        <v>11</v>
      </c>
      <c r="O183" s="4" t="s">
        <v>28</v>
      </c>
      <c r="P183" s="4">
        <v>4577.8599999999997</v>
      </c>
      <c r="Q183" s="4"/>
      <c r="R183" s="4" t="str">
        <f t="shared" si="9"/>
        <v>2023</v>
      </c>
      <c r="S183" s="4" t="str">
        <f t="shared" si="10"/>
        <v>July</v>
      </c>
      <c r="T183" s="4">
        <f t="shared" si="11"/>
        <v>4577.8599999999997</v>
      </c>
      <c r="U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row>
    <row r="184" spans="1:53" ht="19.95" customHeight="1">
      <c r="A184" s="4">
        <v>183</v>
      </c>
      <c r="B184" s="4" t="s">
        <v>588</v>
      </c>
      <c r="C184" s="4" t="s">
        <v>65</v>
      </c>
      <c r="D184" s="4" t="s">
        <v>56</v>
      </c>
      <c r="E184" s="4" t="s">
        <v>345</v>
      </c>
      <c r="F184" s="4" t="s">
        <v>589</v>
      </c>
      <c r="G184" s="4" t="s">
        <v>24</v>
      </c>
      <c r="H184" s="4" t="s">
        <v>346</v>
      </c>
      <c r="I184" s="4" t="s">
        <v>590</v>
      </c>
      <c r="J184" s="4" t="s">
        <v>591</v>
      </c>
      <c r="K184" s="5">
        <v>45104</v>
      </c>
      <c r="L184" s="5">
        <v>45245</v>
      </c>
      <c r="M184" s="5">
        <v>45259</v>
      </c>
      <c r="N184" s="6">
        <f t="shared" si="8"/>
        <v>14</v>
      </c>
      <c r="O184" s="4" t="s">
        <v>28</v>
      </c>
      <c r="P184" s="4">
        <v>7052.23</v>
      </c>
      <c r="Q184" s="4"/>
      <c r="R184" s="4" t="str">
        <f t="shared" si="9"/>
        <v>2023</v>
      </c>
      <c r="S184" s="4" t="str">
        <f t="shared" si="10"/>
        <v>November</v>
      </c>
      <c r="T184" s="4">
        <f t="shared" si="11"/>
        <v>7052.23</v>
      </c>
      <c r="U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row>
    <row r="185" spans="1:53" ht="19.95" customHeight="1">
      <c r="A185" s="4">
        <v>184</v>
      </c>
      <c r="B185" s="4" t="s">
        <v>592</v>
      </c>
      <c r="C185" s="4" t="s">
        <v>65</v>
      </c>
      <c r="D185" s="4" t="s">
        <v>21</v>
      </c>
      <c r="E185" s="4" t="s">
        <v>76</v>
      </c>
      <c r="F185" s="4" t="s">
        <v>593</v>
      </c>
      <c r="G185" s="4" t="s">
        <v>24</v>
      </c>
      <c r="H185" s="4" t="s">
        <v>594</v>
      </c>
      <c r="I185" s="4" t="s">
        <v>595</v>
      </c>
      <c r="J185" s="4" t="s">
        <v>596</v>
      </c>
      <c r="K185" s="5">
        <v>45104</v>
      </c>
      <c r="L185" s="5">
        <v>45192</v>
      </c>
      <c r="M185" s="5">
        <v>45206</v>
      </c>
      <c r="N185" s="6">
        <f t="shared" si="8"/>
        <v>14</v>
      </c>
      <c r="O185" s="4" t="s">
        <v>28</v>
      </c>
      <c r="P185" s="4">
        <v>9685.26</v>
      </c>
      <c r="Q185" s="4"/>
      <c r="R185" s="4" t="str">
        <f t="shared" si="9"/>
        <v>2023</v>
      </c>
      <c r="S185" s="4" t="str">
        <f t="shared" si="10"/>
        <v>September</v>
      </c>
      <c r="T185" s="4">
        <f t="shared" si="11"/>
        <v>9685.26</v>
      </c>
      <c r="U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row>
    <row r="186" spans="1:53" ht="19.95" customHeight="1">
      <c r="A186" s="4">
        <v>185</v>
      </c>
      <c r="B186" s="4" t="s">
        <v>597</v>
      </c>
      <c r="C186" s="4" t="s">
        <v>20</v>
      </c>
      <c r="D186" s="4" t="s">
        <v>21</v>
      </c>
      <c r="E186" s="4" t="s">
        <v>455</v>
      </c>
      <c r="F186" s="4" t="s">
        <v>23</v>
      </c>
      <c r="G186" s="4" t="s">
        <v>24</v>
      </c>
      <c r="H186" s="4" t="s">
        <v>25</v>
      </c>
      <c r="I186" s="4" t="s">
        <v>598</v>
      </c>
      <c r="J186" s="4" t="s">
        <v>599</v>
      </c>
      <c r="K186" s="5">
        <v>45103</v>
      </c>
      <c r="L186" s="5">
        <v>45305</v>
      </c>
      <c r="M186" s="5">
        <v>45322</v>
      </c>
      <c r="N186" s="6">
        <f t="shared" si="8"/>
        <v>17</v>
      </c>
      <c r="O186" s="4" t="s">
        <v>28</v>
      </c>
      <c r="P186" s="4">
        <v>22044.6</v>
      </c>
      <c r="Q186" s="4"/>
      <c r="R186" s="4" t="str">
        <f t="shared" si="9"/>
        <v>2024</v>
      </c>
      <c r="S186" s="4" t="str">
        <f t="shared" si="10"/>
        <v>January</v>
      </c>
      <c r="T186" s="4">
        <f t="shared" si="11"/>
        <v>22044.6</v>
      </c>
      <c r="U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row>
    <row r="187" spans="1:53" ht="19.95" customHeight="1">
      <c r="A187" s="4">
        <v>186</v>
      </c>
      <c r="B187" s="4" t="s">
        <v>600</v>
      </c>
      <c r="C187" s="4" t="s">
        <v>20</v>
      </c>
      <c r="D187" s="4" t="s">
        <v>56</v>
      </c>
      <c r="E187" s="4" t="s">
        <v>76</v>
      </c>
      <c r="F187" s="4" t="s">
        <v>23</v>
      </c>
      <c r="G187" s="4" t="s">
        <v>24</v>
      </c>
      <c r="H187" s="4" t="s">
        <v>25</v>
      </c>
      <c r="I187" s="4" t="s">
        <v>601</v>
      </c>
      <c r="J187" s="4" t="s">
        <v>602</v>
      </c>
      <c r="K187" s="5">
        <v>45103</v>
      </c>
      <c r="L187" s="5">
        <v>45116</v>
      </c>
      <c r="M187" s="5">
        <v>45121</v>
      </c>
      <c r="N187" s="6">
        <f t="shared" si="8"/>
        <v>5</v>
      </c>
      <c r="O187" s="4" t="s">
        <v>334</v>
      </c>
      <c r="P187" s="4">
        <v>3513.97</v>
      </c>
      <c r="Q187" s="4"/>
      <c r="R187" s="4" t="str">
        <f t="shared" si="9"/>
        <v>2023</v>
      </c>
      <c r="S187" s="4" t="str">
        <f t="shared" si="10"/>
        <v>July</v>
      </c>
      <c r="T187" s="4">
        <f t="shared" si="11"/>
        <v>3513.97</v>
      </c>
      <c r="U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row>
    <row r="188" spans="1:53" ht="19.95" customHeight="1">
      <c r="A188" s="4">
        <v>187</v>
      </c>
      <c r="B188" s="4" t="s">
        <v>603</v>
      </c>
      <c r="C188" s="4" t="s">
        <v>20</v>
      </c>
      <c r="D188" s="4" t="s">
        <v>21</v>
      </c>
      <c r="E188" s="4" t="s">
        <v>39</v>
      </c>
      <c r="F188" s="4" t="s">
        <v>23</v>
      </c>
      <c r="G188" s="4" t="s">
        <v>24</v>
      </c>
      <c r="H188" s="4" t="s">
        <v>25</v>
      </c>
      <c r="I188" s="4" t="s">
        <v>604</v>
      </c>
      <c r="J188" s="4" t="s">
        <v>605</v>
      </c>
      <c r="K188" s="5">
        <v>45097</v>
      </c>
      <c r="L188" s="5">
        <v>45206</v>
      </c>
      <c r="M188" s="5">
        <v>45214</v>
      </c>
      <c r="N188" s="6">
        <f t="shared" si="8"/>
        <v>8</v>
      </c>
      <c r="O188" s="4" t="s">
        <v>28</v>
      </c>
      <c r="P188" s="4">
        <v>4243.6499999999996</v>
      </c>
      <c r="Q188" s="4"/>
      <c r="R188" s="4" t="str">
        <f t="shared" si="9"/>
        <v>2023</v>
      </c>
      <c r="S188" s="4" t="str">
        <f t="shared" si="10"/>
        <v>October</v>
      </c>
      <c r="T188" s="4">
        <f t="shared" si="11"/>
        <v>4243.6499999999996</v>
      </c>
      <c r="U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row>
    <row r="189" spans="1:53" ht="19.95" customHeight="1">
      <c r="A189" s="4">
        <v>188</v>
      </c>
      <c r="B189" s="4" t="s">
        <v>606</v>
      </c>
      <c r="C189" s="4" t="s">
        <v>20</v>
      </c>
      <c r="D189" s="4" t="s">
        <v>56</v>
      </c>
      <c r="E189" s="4" t="s">
        <v>39</v>
      </c>
      <c r="F189" s="4" t="s">
        <v>43</v>
      </c>
      <c r="G189" s="4" t="s">
        <v>24</v>
      </c>
      <c r="H189" s="4" t="s">
        <v>44</v>
      </c>
      <c r="I189" s="4" t="s">
        <v>607</v>
      </c>
      <c r="J189" s="4" t="s">
        <v>608</v>
      </c>
      <c r="K189" s="5">
        <v>45096</v>
      </c>
      <c r="L189" s="5">
        <v>45127</v>
      </c>
      <c r="M189" s="5">
        <v>45138</v>
      </c>
      <c r="N189" s="6">
        <f t="shared" si="8"/>
        <v>11</v>
      </c>
      <c r="O189" s="4" t="s">
        <v>28</v>
      </c>
      <c r="P189" s="4">
        <v>6082.44</v>
      </c>
      <c r="Q189" s="4"/>
      <c r="R189" s="4" t="str">
        <f t="shared" si="9"/>
        <v>2023</v>
      </c>
      <c r="S189" s="4" t="str">
        <f t="shared" si="10"/>
        <v>July</v>
      </c>
      <c r="T189" s="4">
        <f t="shared" si="11"/>
        <v>6082.44</v>
      </c>
      <c r="U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row>
    <row r="190" spans="1:53" ht="19.95" customHeight="1">
      <c r="A190" s="4">
        <v>189</v>
      </c>
      <c r="B190" s="4" t="s">
        <v>609</v>
      </c>
      <c r="C190" s="4" t="s">
        <v>65</v>
      </c>
      <c r="D190" s="4" t="s">
        <v>21</v>
      </c>
      <c r="E190" s="4" t="s">
        <v>610</v>
      </c>
      <c r="F190" s="4" t="s">
        <v>96</v>
      </c>
      <c r="G190" s="4" t="s">
        <v>24</v>
      </c>
      <c r="H190" s="4" t="s">
        <v>97</v>
      </c>
      <c r="I190" s="4" t="s">
        <v>611</v>
      </c>
      <c r="J190" s="4" t="s">
        <v>612</v>
      </c>
      <c r="K190" s="5">
        <v>45095</v>
      </c>
      <c r="L190" s="5">
        <v>45158</v>
      </c>
      <c r="M190" s="5">
        <v>45167</v>
      </c>
      <c r="N190" s="6">
        <f t="shared" si="8"/>
        <v>9</v>
      </c>
      <c r="O190" s="4" t="s">
        <v>28</v>
      </c>
      <c r="P190" s="4">
        <v>5498</v>
      </c>
      <c r="Q190" s="4"/>
      <c r="R190" s="4" t="str">
        <f t="shared" si="9"/>
        <v>2023</v>
      </c>
      <c r="S190" s="4" t="str">
        <f t="shared" si="10"/>
        <v>August</v>
      </c>
      <c r="T190" s="4">
        <f t="shared" si="11"/>
        <v>5498</v>
      </c>
      <c r="U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row>
    <row r="191" spans="1:53" ht="19.95" customHeight="1">
      <c r="A191" s="4">
        <v>190</v>
      </c>
      <c r="B191" s="4" t="s">
        <v>613</v>
      </c>
      <c r="C191" s="4" t="s">
        <v>20</v>
      </c>
      <c r="D191" s="4" t="s">
        <v>21</v>
      </c>
      <c r="E191" s="4" t="s">
        <v>614</v>
      </c>
      <c r="F191" s="4" t="s">
        <v>23</v>
      </c>
      <c r="G191" s="4" t="s">
        <v>24</v>
      </c>
      <c r="H191" s="4" t="s">
        <v>25</v>
      </c>
      <c r="I191" s="4" t="s">
        <v>615</v>
      </c>
      <c r="J191" s="4" t="s">
        <v>616</v>
      </c>
      <c r="K191" s="5">
        <v>45091</v>
      </c>
      <c r="L191" s="5">
        <v>45252</v>
      </c>
      <c r="M191" s="5">
        <v>45262</v>
      </c>
      <c r="N191" s="6">
        <f t="shared" si="8"/>
        <v>10</v>
      </c>
      <c r="O191" s="4" t="s">
        <v>28</v>
      </c>
      <c r="P191" s="4">
        <v>3930.43</v>
      </c>
      <c r="Q191" s="4"/>
      <c r="R191" s="4" t="str">
        <f t="shared" si="9"/>
        <v>2023</v>
      </c>
      <c r="S191" s="4" t="str">
        <f t="shared" si="10"/>
        <v>November</v>
      </c>
      <c r="T191" s="4">
        <f t="shared" si="11"/>
        <v>3930.43</v>
      </c>
      <c r="U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row>
    <row r="192" spans="1:53" ht="19.95" customHeight="1">
      <c r="A192" s="4">
        <v>191</v>
      </c>
      <c r="B192" s="4" t="s">
        <v>2494</v>
      </c>
      <c r="C192" s="4" t="s">
        <v>20</v>
      </c>
      <c r="D192" s="4" t="s">
        <v>21</v>
      </c>
      <c r="E192" s="4" t="s">
        <v>455</v>
      </c>
      <c r="F192" s="4" t="s">
        <v>23</v>
      </c>
      <c r="G192" s="4" t="s">
        <v>24</v>
      </c>
      <c r="H192" s="4" t="s">
        <v>25</v>
      </c>
      <c r="I192" s="4" t="s">
        <v>2495</v>
      </c>
      <c r="J192" s="4" t="s">
        <v>2496</v>
      </c>
      <c r="K192" s="5">
        <v>45087</v>
      </c>
      <c r="L192" s="5">
        <v>45379</v>
      </c>
      <c r="M192" s="5">
        <v>45402</v>
      </c>
      <c r="N192" s="6">
        <f t="shared" si="8"/>
        <v>23</v>
      </c>
      <c r="O192" s="4" t="s">
        <v>28</v>
      </c>
      <c r="P192" s="4">
        <v>18655.490000000002</v>
      </c>
      <c r="Q192" s="4"/>
      <c r="R192" s="4" t="str">
        <f t="shared" si="9"/>
        <v>2024</v>
      </c>
      <c r="S192" s="4" t="str">
        <f t="shared" si="10"/>
        <v>March</v>
      </c>
      <c r="T192" s="4">
        <f t="shared" si="11"/>
        <v>18655.490000000002</v>
      </c>
      <c r="U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row>
    <row r="193" spans="1:53" ht="19.95" customHeight="1">
      <c r="A193" s="4">
        <v>192</v>
      </c>
      <c r="B193" s="4" t="s">
        <v>617</v>
      </c>
      <c r="C193" s="4" t="s">
        <v>65</v>
      </c>
      <c r="D193" s="4" t="s">
        <v>21</v>
      </c>
      <c r="E193" s="4" t="s">
        <v>455</v>
      </c>
      <c r="F193" s="4" t="s">
        <v>96</v>
      </c>
      <c r="G193" s="4" t="s">
        <v>24</v>
      </c>
      <c r="H193" s="4" t="s">
        <v>49</v>
      </c>
      <c r="I193" s="4" t="s">
        <v>618</v>
      </c>
      <c r="J193" s="4" t="s">
        <v>619</v>
      </c>
      <c r="K193" s="5">
        <v>45087</v>
      </c>
      <c r="L193" s="5">
        <v>45151</v>
      </c>
      <c r="M193" s="5">
        <v>45166</v>
      </c>
      <c r="N193" s="6">
        <f t="shared" si="8"/>
        <v>15</v>
      </c>
      <c r="O193" s="4" t="s">
        <v>28</v>
      </c>
      <c r="P193" s="4">
        <v>7749.17</v>
      </c>
      <c r="Q193" s="4"/>
      <c r="R193" s="4" t="str">
        <f t="shared" si="9"/>
        <v>2023</v>
      </c>
      <c r="S193" s="4" t="str">
        <f t="shared" si="10"/>
        <v>August</v>
      </c>
      <c r="T193" s="4">
        <f t="shared" si="11"/>
        <v>7749.17</v>
      </c>
      <c r="U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row>
    <row r="194" spans="1:53" ht="19.95" customHeight="1">
      <c r="A194" s="4">
        <v>193</v>
      </c>
      <c r="B194" s="4" t="s">
        <v>620</v>
      </c>
      <c r="C194" s="4" t="s">
        <v>20</v>
      </c>
      <c r="D194" s="4" t="s">
        <v>21</v>
      </c>
      <c r="E194" s="4" t="s">
        <v>455</v>
      </c>
      <c r="F194" s="4" t="s">
        <v>23</v>
      </c>
      <c r="G194" s="4" t="s">
        <v>223</v>
      </c>
      <c r="H194" s="4" t="s">
        <v>25</v>
      </c>
      <c r="I194" s="4" t="s">
        <v>621</v>
      </c>
      <c r="J194" s="4" t="s">
        <v>622</v>
      </c>
      <c r="K194" s="5">
        <v>45087</v>
      </c>
      <c r="L194" s="5">
        <v>45209</v>
      </c>
      <c r="M194" s="5">
        <v>45209</v>
      </c>
      <c r="N194" s="6">
        <f t="shared" ref="N194:N257" si="12">M194-L194</f>
        <v>0</v>
      </c>
      <c r="O194" s="4" t="s">
        <v>28</v>
      </c>
      <c r="P194" s="4">
        <v>4374</v>
      </c>
      <c r="Q194" s="4"/>
      <c r="R194" s="4" t="str">
        <f t="shared" ref="R194:R257" si="13">TEXT(L194,"YYY")</f>
        <v>2023</v>
      </c>
      <c r="S194" s="4" t="str">
        <f t="shared" ref="S194:S257" si="14">TEXT(L194,"MMMM")</f>
        <v>October</v>
      </c>
      <c r="T194" s="4">
        <f t="shared" ref="T194:T257" si="15">P194</f>
        <v>4374</v>
      </c>
      <c r="U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row>
    <row r="195" spans="1:53" ht="19.95" customHeight="1">
      <c r="A195" s="4">
        <v>194</v>
      </c>
      <c r="B195" s="4" t="s">
        <v>623</v>
      </c>
      <c r="C195" s="4" t="s">
        <v>20</v>
      </c>
      <c r="D195" s="4" t="s">
        <v>30</v>
      </c>
      <c r="E195" s="4" t="s">
        <v>31</v>
      </c>
      <c r="F195" s="4" t="s">
        <v>24</v>
      </c>
      <c r="G195" s="4" t="s">
        <v>24</v>
      </c>
      <c r="H195" s="4" t="s">
        <v>200</v>
      </c>
      <c r="I195" s="4" t="s">
        <v>624</v>
      </c>
      <c r="J195" s="4" t="s">
        <v>625</v>
      </c>
      <c r="K195" s="5">
        <v>45086</v>
      </c>
      <c r="L195" s="5">
        <v>45089</v>
      </c>
      <c r="M195" s="5">
        <v>45092</v>
      </c>
      <c r="N195" s="6">
        <f t="shared" si="12"/>
        <v>3</v>
      </c>
      <c r="O195" s="4" t="s">
        <v>28</v>
      </c>
      <c r="P195" s="4">
        <v>419.19</v>
      </c>
      <c r="Q195" s="4"/>
      <c r="R195" s="4" t="str">
        <f t="shared" si="13"/>
        <v>2023</v>
      </c>
      <c r="S195" s="4" t="str">
        <f t="shared" si="14"/>
        <v>June</v>
      </c>
      <c r="T195" s="4">
        <f t="shared" si="15"/>
        <v>419.19</v>
      </c>
      <c r="U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row>
    <row r="196" spans="1:53" ht="19.95" customHeight="1">
      <c r="A196" s="4">
        <v>195</v>
      </c>
      <c r="B196" s="4" t="s">
        <v>626</v>
      </c>
      <c r="C196" s="4" t="s">
        <v>20</v>
      </c>
      <c r="D196" s="4" t="s">
        <v>21</v>
      </c>
      <c r="E196" s="4" t="s">
        <v>39</v>
      </c>
      <c r="F196" s="4" t="s">
        <v>23</v>
      </c>
      <c r="G196" s="4" t="s">
        <v>24</v>
      </c>
      <c r="H196" s="4" t="s">
        <v>25</v>
      </c>
      <c r="I196" s="4" t="s">
        <v>627</v>
      </c>
      <c r="J196" s="4" t="s">
        <v>628</v>
      </c>
      <c r="K196" s="5">
        <v>45085</v>
      </c>
      <c r="L196" s="5">
        <v>45361</v>
      </c>
      <c r="M196" s="5">
        <v>45394</v>
      </c>
      <c r="N196" s="6">
        <f t="shared" si="12"/>
        <v>33</v>
      </c>
      <c r="O196" s="4" t="s">
        <v>28</v>
      </c>
      <c r="P196" s="4">
        <v>10443.18</v>
      </c>
      <c r="Q196" s="4"/>
      <c r="R196" s="4" t="str">
        <f t="shared" si="13"/>
        <v>2024</v>
      </c>
      <c r="S196" s="4" t="str">
        <f t="shared" si="14"/>
        <v>March</v>
      </c>
      <c r="T196" s="4">
        <f t="shared" si="15"/>
        <v>10443.18</v>
      </c>
      <c r="U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row>
    <row r="197" spans="1:53" ht="19.95" customHeight="1">
      <c r="A197" s="4">
        <v>196</v>
      </c>
      <c r="B197" s="4" t="s">
        <v>629</v>
      </c>
      <c r="C197" s="4" t="s">
        <v>20</v>
      </c>
      <c r="D197" s="4" t="s">
        <v>21</v>
      </c>
      <c r="E197" s="4" t="s">
        <v>455</v>
      </c>
      <c r="F197" s="4" t="s">
        <v>23</v>
      </c>
      <c r="G197" s="4" t="s">
        <v>24</v>
      </c>
      <c r="H197" s="4" t="s">
        <v>25</v>
      </c>
      <c r="I197" s="4" t="s">
        <v>630</v>
      </c>
      <c r="J197" s="4" t="s">
        <v>631</v>
      </c>
      <c r="K197" s="5">
        <v>45085</v>
      </c>
      <c r="L197" s="5">
        <v>45149</v>
      </c>
      <c r="M197" s="5">
        <v>45166</v>
      </c>
      <c r="N197" s="6">
        <f t="shared" si="12"/>
        <v>17</v>
      </c>
      <c r="O197" s="4" t="s">
        <v>28</v>
      </c>
      <c r="P197" s="4">
        <v>23979.77</v>
      </c>
      <c r="Q197" s="4"/>
      <c r="R197" s="4" t="str">
        <f t="shared" si="13"/>
        <v>2023</v>
      </c>
      <c r="S197" s="4" t="str">
        <f t="shared" si="14"/>
        <v>August</v>
      </c>
      <c r="T197" s="4">
        <f t="shared" si="15"/>
        <v>23979.77</v>
      </c>
      <c r="U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row>
    <row r="198" spans="1:53" ht="19.95" customHeight="1">
      <c r="A198" s="4">
        <v>197</v>
      </c>
      <c r="B198" s="4" t="s">
        <v>632</v>
      </c>
      <c r="C198" s="4" t="s">
        <v>20</v>
      </c>
      <c r="D198" s="4" t="s">
        <v>21</v>
      </c>
      <c r="E198" s="4" t="s">
        <v>39</v>
      </c>
      <c r="F198" s="4" t="s">
        <v>116</v>
      </c>
      <c r="G198" s="4" t="s">
        <v>24</v>
      </c>
      <c r="H198" s="4" t="s">
        <v>117</v>
      </c>
      <c r="I198" s="4" t="s">
        <v>633</v>
      </c>
      <c r="J198" s="4" t="s">
        <v>634</v>
      </c>
      <c r="K198" s="5">
        <v>45085</v>
      </c>
      <c r="L198" s="5">
        <v>45316</v>
      </c>
      <c r="M198" s="5">
        <v>45331</v>
      </c>
      <c r="N198" s="6">
        <f t="shared" si="12"/>
        <v>15</v>
      </c>
      <c r="O198" s="4" t="s">
        <v>28</v>
      </c>
      <c r="P198" s="4">
        <v>19484.97</v>
      </c>
      <c r="Q198" s="4"/>
      <c r="R198" s="4" t="str">
        <f t="shared" si="13"/>
        <v>2024</v>
      </c>
      <c r="S198" s="4" t="str">
        <f t="shared" si="14"/>
        <v>January</v>
      </c>
      <c r="T198" s="4">
        <f t="shared" si="15"/>
        <v>19484.97</v>
      </c>
      <c r="U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row>
    <row r="199" spans="1:53" ht="19.95" customHeight="1">
      <c r="A199" s="4">
        <v>198</v>
      </c>
      <c r="B199" s="4" t="s">
        <v>635</v>
      </c>
      <c r="C199" s="4" t="s">
        <v>20</v>
      </c>
      <c r="D199" s="4" t="s">
        <v>21</v>
      </c>
      <c r="E199" s="4" t="s">
        <v>31</v>
      </c>
      <c r="F199" s="4" t="s">
        <v>23</v>
      </c>
      <c r="G199" s="4" t="s">
        <v>24</v>
      </c>
      <c r="H199" s="4" t="s">
        <v>25</v>
      </c>
      <c r="I199" s="4" t="s">
        <v>636</v>
      </c>
      <c r="J199" s="4" t="s">
        <v>637</v>
      </c>
      <c r="K199" s="5">
        <v>45082</v>
      </c>
      <c r="L199" s="5">
        <v>45165</v>
      </c>
      <c r="M199" s="5">
        <v>45177</v>
      </c>
      <c r="N199" s="6">
        <f t="shared" si="12"/>
        <v>12</v>
      </c>
      <c r="O199" s="4" t="s">
        <v>28</v>
      </c>
      <c r="P199" s="4">
        <v>3835.58</v>
      </c>
      <c r="Q199" s="4"/>
      <c r="R199" s="4" t="str">
        <f t="shared" si="13"/>
        <v>2023</v>
      </c>
      <c r="S199" s="4" t="str">
        <f t="shared" si="14"/>
        <v>August</v>
      </c>
      <c r="T199" s="4">
        <f t="shared" si="15"/>
        <v>3835.58</v>
      </c>
      <c r="U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row>
    <row r="200" spans="1:53" ht="19.95" customHeight="1">
      <c r="A200" s="4">
        <v>199</v>
      </c>
      <c r="B200" s="4" t="s">
        <v>638</v>
      </c>
      <c r="C200" s="4" t="s">
        <v>20</v>
      </c>
      <c r="D200" s="4" t="s">
        <v>21</v>
      </c>
      <c r="E200" s="4" t="s">
        <v>31</v>
      </c>
      <c r="F200" s="4" t="s">
        <v>23</v>
      </c>
      <c r="G200" s="4" t="s">
        <v>24</v>
      </c>
      <c r="H200" s="4" t="s">
        <v>25</v>
      </c>
      <c r="I200" s="4" t="s">
        <v>639</v>
      </c>
      <c r="J200" s="4" t="s">
        <v>640</v>
      </c>
      <c r="K200" s="5">
        <v>45081</v>
      </c>
      <c r="L200" s="5">
        <v>45369</v>
      </c>
      <c r="M200" s="5">
        <v>45378</v>
      </c>
      <c r="N200" s="6">
        <f t="shared" si="12"/>
        <v>9</v>
      </c>
      <c r="O200" s="4" t="s">
        <v>28</v>
      </c>
      <c r="P200" s="4">
        <v>11885.68</v>
      </c>
      <c r="Q200" s="4"/>
      <c r="R200" s="4" t="str">
        <f t="shared" si="13"/>
        <v>2024</v>
      </c>
      <c r="S200" s="4" t="str">
        <f t="shared" si="14"/>
        <v>March</v>
      </c>
      <c r="T200" s="4">
        <f t="shared" si="15"/>
        <v>11885.68</v>
      </c>
      <c r="U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row>
    <row r="201" spans="1:53" ht="19.95" customHeight="1">
      <c r="A201" s="4">
        <v>200</v>
      </c>
      <c r="B201" s="4" t="s">
        <v>641</v>
      </c>
      <c r="C201" s="4" t="s">
        <v>20</v>
      </c>
      <c r="D201" s="4" t="s">
        <v>21</v>
      </c>
      <c r="E201" s="4" t="s">
        <v>76</v>
      </c>
      <c r="F201" s="4" t="s">
        <v>23</v>
      </c>
      <c r="G201" s="4" t="s">
        <v>24</v>
      </c>
      <c r="H201" s="4" t="s">
        <v>25</v>
      </c>
      <c r="I201" s="4" t="s">
        <v>642</v>
      </c>
      <c r="J201" s="4" t="s">
        <v>643</v>
      </c>
      <c r="K201" s="5">
        <v>45079</v>
      </c>
      <c r="L201" s="5">
        <v>45143</v>
      </c>
      <c r="M201" s="5">
        <v>45158</v>
      </c>
      <c r="N201" s="6">
        <f t="shared" si="12"/>
        <v>15</v>
      </c>
      <c r="O201" s="4" t="s">
        <v>334</v>
      </c>
      <c r="P201" s="4">
        <v>10730.24</v>
      </c>
      <c r="Q201" s="4"/>
      <c r="R201" s="4" t="str">
        <f t="shared" si="13"/>
        <v>2023</v>
      </c>
      <c r="S201" s="4" t="str">
        <f t="shared" si="14"/>
        <v>August</v>
      </c>
      <c r="T201" s="4">
        <f t="shared" si="15"/>
        <v>10730.24</v>
      </c>
      <c r="U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row>
    <row r="202" spans="1:53" ht="19.95" customHeight="1">
      <c r="A202" s="4">
        <v>201</v>
      </c>
      <c r="B202" s="4" t="s">
        <v>644</v>
      </c>
      <c r="C202" s="4" t="s">
        <v>20</v>
      </c>
      <c r="D202" s="4" t="s">
        <v>21</v>
      </c>
      <c r="E202" s="4" t="s">
        <v>76</v>
      </c>
      <c r="F202" s="4" t="s">
        <v>23</v>
      </c>
      <c r="G202" s="4" t="s">
        <v>24</v>
      </c>
      <c r="H202" s="4" t="s">
        <v>25</v>
      </c>
      <c r="I202" s="4" t="s">
        <v>645</v>
      </c>
      <c r="J202" s="4" t="s">
        <v>646</v>
      </c>
      <c r="K202" s="5">
        <v>45079</v>
      </c>
      <c r="L202" s="5">
        <v>45346</v>
      </c>
      <c r="M202" s="5">
        <v>45379</v>
      </c>
      <c r="N202" s="6">
        <f t="shared" si="12"/>
        <v>33</v>
      </c>
      <c r="O202" s="4" t="s">
        <v>28</v>
      </c>
      <c r="P202" s="4">
        <v>21013.88</v>
      </c>
      <c r="Q202" s="4"/>
      <c r="R202" s="4" t="str">
        <f t="shared" si="13"/>
        <v>2024</v>
      </c>
      <c r="S202" s="4" t="str">
        <f t="shared" si="14"/>
        <v>February</v>
      </c>
      <c r="T202" s="4">
        <f t="shared" si="15"/>
        <v>21013.88</v>
      </c>
      <c r="U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row>
    <row r="203" spans="1:53" ht="19.95" customHeight="1">
      <c r="A203" s="4">
        <v>202</v>
      </c>
      <c r="B203" s="4" t="s">
        <v>647</v>
      </c>
      <c r="C203" s="4" t="s">
        <v>20</v>
      </c>
      <c r="D203" s="4" t="s">
        <v>21</v>
      </c>
      <c r="E203" s="4" t="s">
        <v>455</v>
      </c>
      <c r="F203" s="4" t="s">
        <v>23</v>
      </c>
      <c r="G203" s="4" t="s">
        <v>24</v>
      </c>
      <c r="H203" s="4" t="s">
        <v>25</v>
      </c>
      <c r="I203" s="4" t="s">
        <v>648</v>
      </c>
      <c r="J203" s="4" t="s">
        <v>649</v>
      </c>
      <c r="K203" s="5">
        <v>45078</v>
      </c>
      <c r="L203" s="5">
        <v>45335</v>
      </c>
      <c r="M203" s="5">
        <v>45352</v>
      </c>
      <c r="N203" s="6">
        <f t="shared" si="12"/>
        <v>17</v>
      </c>
      <c r="O203" s="4" t="s">
        <v>28</v>
      </c>
      <c r="P203" s="4">
        <v>13361.52</v>
      </c>
      <c r="Q203" s="4"/>
      <c r="R203" s="4" t="str">
        <f t="shared" si="13"/>
        <v>2024</v>
      </c>
      <c r="S203" s="4" t="str">
        <f t="shared" si="14"/>
        <v>February</v>
      </c>
      <c r="T203" s="4">
        <f t="shared" si="15"/>
        <v>13361.52</v>
      </c>
      <c r="U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row>
    <row r="204" spans="1:53" ht="19.95" customHeight="1">
      <c r="A204" s="4">
        <v>203</v>
      </c>
      <c r="B204" s="4" t="s">
        <v>650</v>
      </c>
      <c r="C204" s="4" t="s">
        <v>20</v>
      </c>
      <c r="D204" s="4" t="s">
        <v>21</v>
      </c>
      <c r="E204" s="4" t="s">
        <v>455</v>
      </c>
      <c r="F204" s="4" t="s">
        <v>23</v>
      </c>
      <c r="G204" s="4" t="s">
        <v>24</v>
      </c>
      <c r="H204" s="4" t="s">
        <v>25</v>
      </c>
      <c r="I204" s="4" t="s">
        <v>651</v>
      </c>
      <c r="J204" s="4" t="s">
        <v>652</v>
      </c>
      <c r="K204" s="5">
        <v>45075</v>
      </c>
      <c r="L204" s="5">
        <v>45115</v>
      </c>
      <c r="M204" s="5">
        <v>45130</v>
      </c>
      <c r="N204" s="6">
        <f t="shared" si="12"/>
        <v>15</v>
      </c>
      <c r="O204" s="4" t="s">
        <v>28</v>
      </c>
      <c r="P204" s="4">
        <v>16192.99</v>
      </c>
      <c r="Q204" s="4"/>
      <c r="R204" s="4" t="str">
        <f t="shared" si="13"/>
        <v>2023</v>
      </c>
      <c r="S204" s="4" t="str">
        <f t="shared" si="14"/>
        <v>July</v>
      </c>
      <c r="T204" s="4">
        <f t="shared" si="15"/>
        <v>16192.99</v>
      </c>
      <c r="U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row>
    <row r="205" spans="1:53" ht="19.95" customHeight="1">
      <c r="A205" s="4">
        <v>204</v>
      </c>
      <c r="B205" s="4" t="s">
        <v>653</v>
      </c>
      <c r="C205" s="4" t="s">
        <v>20</v>
      </c>
      <c r="D205" s="4" t="s">
        <v>21</v>
      </c>
      <c r="E205" s="4" t="s">
        <v>39</v>
      </c>
      <c r="F205" s="4" t="s">
        <v>23</v>
      </c>
      <c r="G205" s="4" t="s">
        <v>24</v>
      </c>
      <c r="H205" s="4" t="s">
        <v>25</v>
      </c>
      <c r="I205" s="4" t="s">
        <v>654</v>
      </c>
      <c r="J205" s="4" t="s">
        <v>655</v>
      </c>
      <c r="K205" s="5">
        <v>45075</v>
      </c>
      <c r="L205" s="5">
        <v>45248</v>
      </c>
      <c r="M205" s="5">
        <v>45263</v>
      </c>
      <c r="N205" s="6">
        <f t="shared" si="12"/>
        <v>15</v>
      </c>
      <c r="O205" s="4" t="s">
        <v>28</v>
      </c>
      <c r="P205" s="4">
        <v>6432.74</v>
      </c>
      <c r="Q205" s="4"/>
      <c r="R205" s="4" t="str">
        <f t="shared" si="13"/>
        <v>2023</v>
      </c>
      <c r="S205" s="4" t="str">
        <f t="shared" si="14"/>
        <v>November</v>
      </c>
      <c r="T205" s="4">
        <f t="shared" si="15"/>
        <v>6432.74</v>
      </c>
      <c r="U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row>
    <row r="206" spans="1:53" ht="19.95" customHeight="1">
      <c r="A206" s="4">
        <v>205</v>
      </c>
      <c r="B206" s="4" t="s">
        <v>656</v>
      </c>
      <c r="C206" s="4" t="s">
        <v>20</v>
      </c>
      <c r="D206" s="4" t="s">
        <v>21</v>
      </c>
      <c r="E206" s="4" t="s">
        <v>455</v>
      </c>
      <c r="F206" s="4" t="s">
        <v>23</v>
      </c>
      <c r="G206" s="4" t="s">
        <v>24</v>
      </c>
      <c r="H206" s="4" t="s">
        <v>254</v>
      </c>
      <c r="I206" s="4" t="s">
        <v>657</v>
      </c>
      <c r="J206" s="4" t="s">
        <v>658</v>
      </c>
      <c r="K206" s="5">
        <v>45075</v>
      </c>
      <c r="L206" s="5">
        <v>45127</v>
      </c>
      <c r="M206" s="5">
        <v>45140</v>
      </c>
      <c r="N206" s="6">
        <f t="shared" si="12"/>
        <v>13</v>
      </c>
      <c r="O206" s="4" t="s">
        <v>28</v>
      </c>
      <c r="P206" s="4">
        <v>1619.17</v>
      </c>
      <c r="Q206" s="4"/>
      <c r="R206" s="4" t="str">
        <f t="shared" si="13"/>
        <v>2023</v>
      </c>
      <c r="S206" s="4" t="str">
        <f t="shared" si="14"/>
        <v>July</v>
      </c>
      <c r="T206" s="4">
        <f t="shared" si="15"/>
        <v>1619.17</v>
      </c>
      <c r="U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row>
    <row r="207" spans="1:53" ht="19.95" customHeight="1">
      <c r="A207" s="4">
        <v>206</v>
      </c>
      <c r="B207" s="4" t="s">
        <v>659</v>
      </c>
      <c r="C207" s="4" t="s">
        <v>65</v>
      </c>
      <c r="D207" s="4" t="s">
        <v>56</v>
      </c>
      <c r="E207" s="4" t="s">
        <v>345</v>
      </c>
      <c r="F207" s="4" t="s">
        <v>589</v>
      </c>
      <c r="G207" s="4" t="s">
        <v>24</v>
      </c>
      <c r="H207" s="4" t="s">
        <v>346</v>
      </c>
      <c r="I207" s="4" t="s">
        <v>660</v>
      </c>
      <c r="J207" s="4" t="s">
        <v>661</v>
      </c>
      <c r="K207" s="5">
        <v>45070</v>
      </c>
      <c r="L207" s="5">
        <v>45116</v>
      </c>
      <c r="M207" s="5">
        <v>45131</v>
      </c>
      <c r="N207" s="6">
        <f t="shared" si="12"/>
        <v>15</v>
      </c>
      <c r="O207" s="4" t="s">
        <v>28</v>
      </c>
      <c r="P207" s="4">
        <v>13897.38</v>
      </c>
      <c r="Q207" s="4"/>
      <c r="R207" s="4" t="str">
        <f t="shared" si="13"/>
        <v>2023</v>
      </c>
      <c r="S207" s="4" t="str">
        <f t="shared" si="14"/>
        <v>July</v>
      </c>
      <c r="T207" s="4">
        <f t="shared" si="15"/>
        <v>13897.38</v>
      </c>
      <c r="U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row>
    <row r="208" spans="1:53" ht="19.95" customHeight="1">
      <c r="A208" s="4">
        <v>207</v>
      </c>
      <c r="B208" s="4" t="s">
        <v>662</v>
      </c>
      <c r="C208" s="4" t="s">
        <v>20</v>
      </c>
      <c r="D208" s="4" t="s">
        <v>21</v>
      </c>
      <c r="E208" s="4" t="s">
        <v>39</v>
      </c>
      <c r="F208" s="4" t="s">
        <v>23</v>
      </c>
      <c r="G208" s="4" t="s">
        <v>24</v>
      </c>
      <c r="H208" s="4" t="s">
        <v>25</v>
      </c>
      <c r="I208" s="4" t="s">
        <v>663</v>
      </c>
      <c r="J208" s="4" t="s">
        <v>664</v>
      </c>
      <c r="K208" s="5">
        <v>45070</v>
      </c>
      <c r="L208" s="5">
        <v>45338</v>
      </c>
      <c r="M208" s="5">
        <v>45353</v>
      </c>
      <c r="N208" s="6">
        <f t="shared" si="12"/>
        <v>15</v>
      </c>
      <c r="O208" s="4" t="s">
        <v>28</v>
      </c>
      <c r="P208" s="4">
        <v>13237.39</v>
      </c>
      <c r="Q208" s="4"/>
      <c r="R208" s="4" t="str">
        <f t="shared" si="13"/>
        <v>2024</v>
      </c>
      <c r="S208" s="4" t="str">
        <f t="shared" si="14"/>
        <v>February</v>
      </c>
      <c r="T208" s="4">
        <f t="shared" si="15"/>
        <v>13237.39</v>
      </c>
      <c r="U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row>
    <row r="209" spans="1:53" ht="19.95" customHeight="1">
      <c r="A209" s="4">
        <v>208</v>
      </c>
      <c r="B209" s="4" t="s">
        <v>665</v>
      </c>
      <c r="C209" s="4" t="s">
        <v>20</v>
      </c>
      <c r="D209" s="4" t="s">
        <v>21</v>
      </c>
      <c r="E209" s="4" t="s">
        <v>39</v>
      </c>
      <c r="F209" s="4" t="s">
        <v>593</v>
      </c>
      <c r="G209" s="4" t="s">
        <v>24</v>
      </c>
      <c r="H209" s="4" t="s">
        <v>594</v>
      </c>
      <c r="I209" s="4" t="s">
        <v>666</v>
      </c>
      <c r="J209" s="4" t="s">
        <v>667</v>
      </c>
      <c r="K209" s="5">
        <v>45070</v>
      </c>
      <c r="L209" s="5">
        <v>45121</v>
      </c>
      <c r="M209" s="5">
        <v>45140</v>
      </c>
      <c r="N209" s="6">
        <f t="shared" si="12"/>
        <v>19</v>
      </c>
      <c r="O209" s="4" t="s">
        <v>28</v>
      </c>
      <c r="P209" s="4">
        <v>10267.700000000001</v>
      </c>
      <c r="Q209" s="4"/>
      <c r="R209" s="4" t="str">
        <f t="shared" si="13"/>
        <v>2023</v>
      </c>
      <c r="S209" s="4" t="str">
        <f t="shared" si="14"/>
        <v>July</v>
      </c>
      <c r="T209" s="4">
        <f t="shared" si="15"/>
        <v>10267.700000000001</v>
      </c>
      <c r="U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row>
    <row r="210" spans="1:53" ht="19.95" customHeight="1">
      <c r="A210" s="4">
        <v>209</v>
      </c>
      <c r="B210" s="4" t="s">
        <v>668</v>
      </c>
      <c r="C210" s="4" t="s">
        <v>20</v>
      </c>
      <c r="D210" s="4" t="s">
        <v>21</v>
      </c>
      <c r="E210" s="4" t="s">
        <v>455</v>
      </c>
      <c r="F210" s="4" t="s">
        <v>23</v>
      </c>
      <c r="G210" s="4" t="s">
        <v>24</v>
      </c>
      <c r="H210" s="4" t="s">
        <v>25</v>
      </c>
      <c r="I210" s="4" t="s">
        <v>669</v>
      </c>
      <c r="J210" s="4" t="s">
        <v>670</v>
      </c>
      <c r="K210" s="5">
        <v>45064</v>
      </c>
      <c r="L210" s="5">
        <v>45360</v>
      </c>
      <c r="M210" s="5">
        <v>45374</v>
      </c>
      <c r="N210" s="6">
        <f t="shared" si="12"/>
        <v>14</v>
      </c>
      <c r="O210" s="4" t="s">
        <v>28</v>
      </c>
      <c r="P210" s="4">
        <v>8435.9699999999993</v>
      </c>
      <c r="Q210" s="4"/>
      <c r="R210" s="4" t="str">
        <f t="shared" si="13"/>
        <v>2024</v>
      </c>
      <c r="S210" s="4" t="str">
        <f t="shared" si="14"/>
        <v>March</v>
      </c>
      <c r="T210" s="4">
        <f t="shared" si="15"/>
        <v>8435.9699999999993</v>
      </c>
      <c r="U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row>
    <row r="211" spans="1:53" ht="19.95" customHeight="1">
      <c r="A211" s="4">
        <v>210</v>
      </c>
      <c r="B211" s="4" t="s">
        <v>671</v>
      </c>
      <c r="C211" s="4" t="s">
        <v>65</v>
      </c>
      <c r="D211" s="4" t="s">
        <v>38</v>
      </c>
      <c r="E211" s="4" t="s">
        <v>672</v>
      </c>
      <c r="F211" s="4" t="s">
        <v>116</v>
      </c>
      <c r="G211" s="4" t="s">
        <v>24</v>
      </c>
      <c r="H211" s="4" t="s">
        <v>117</v>
      </c>
      <c r="I211" s="4" t="s">
        <v>673</v>
      </c>
      <c r="J211" s="4" t="s">
        <v>674</v>
      </c>
      <c r="K211" s="5">
        <v>45062</v>
      </c>
      <c r="L211" s="5">
        <v>45065</v>
      </c>
      <c r="M211" s="5">
        <v>45065</v>
      </c>
      <c r="N211" s="6">
        <f t="shared" si="12"/>
        <v>0</v>
      </c>
      <c r="O211" s="4" t="s">
        <v>28</v>
      </c>
      <c r="P211" s="4">
        <v>35</v>
      </c>
      <c r="Q211" s="4"/>
      <c r="R211" s="4" t="str">
        <f t="shared" si="13"/>
        <v>2023</v>
      </c>
      <c r="S211" s="4" t="str">
        <f t="shared" si="14"/>
        <v>May</v>
      </c>
      <c r="T211" s="4">
        <f t="shared" si="15"/>
        <v>35</v>
      </c>
      <c r="U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row>
    <row r="212" spans="1:53" ht="19.95" customHeight="1">
      <c r="A212" s="4">
        <v>211</v>
      </c>
      <c r="B212" s="4" t="s">
        <v>675</v>
      </c>
      <c r="C212" s="4" t="s">
        <v>20</v>
      </c>
      <c r="D212" s="4" t="s">
        <v>21</v>
      </c>
      <c r="E212" s="4" t="s">
        <v>455</v>
      </c>
      <c r="F212" s="4" t="s">
        <v>23</v>
      </c>
      <c r="G212" s="4" t="s">
        <v>24</v>
      </c>
      <c r="H212" s="4" t="s">
        <v>25</v>
      </c>
      <c r="I212" s="4" t="s">
        <v>676</v>
      </c>
      <c r="J212" s="4" t="s">
        <v>677</v>
      </c>
      <c r="K212" s="5">
        <v>45062</v>
      </c>
      <c r="L212" s="5">
        <v>45347</v>
      </c>
      <c r="M212" s="5">
        <v>45357</v>
      </c>
      <c r="N212" s="6">
        <f t="shared" si="12"/>
        <v>10</v>
      </c>
      <c r="O212" s="4" t="s">
        <v>28</v>
      </c>
      <c r="P212" s="4">
        <v>6899.9</v>
      </c>
      <c r="Q212" s="4"/>
      <c r="R212" s="4" t="str">
        <f t="shared" si="13"/>
        <v>2024</v>
      </c>
      <c r="S212" s="4" t="str">
        <f t="shared" si="14"/>
        <v>February</v>
      </c>
      <c r="T212" s="4">
        <f t="shared" si="15"/>
        <v>6899.9</v>
      </c>
      <c r="U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row>
    <row r="213" spans="1:53" ht="19.95" customHeight="1">
      <c r="A213" s="4">
        <v>212</v>
      </c>
      <c r="B213" s="4" t="s">
        <v>678</v>
      </c>
      <c r="C213" s="4" t="s">
        <v>20</v>
      </c>
      <c r="D213" s="4" t="s">
        <v>21</v>
      </c>
      <c r="E213" s="4" t="s">
        <v>76</v>
      </c>
      <c r="F213" s="4" t="s">
        <v>23</v>
      </c>
      <c r="G213" s="4" t="s">
        <v>24</v>
      </c>
      <c r="H213" s="4" t="s">
        <v>25</v>
      </c>
      <c r="I213" s="4" t="s">
        <v>645</v>
      </c>
      <c r="J213" s="4" t="s">
        <v>646</v>
      </c>
      <c r="K213" s="5">
        <v>45062</v>
      </c>
      <c r="L213" s="5">
        <v>45346</v>
      </c>
      <c r="M213" s="5">
        <v>45346</v>
      </c>
      <c r="N213" s="6">
        <f t="shared" si="12"/>
        <v>0</v>
      </c>
      <c r="O213" s="4" t="s">
        <v>334</v>
      </c>
      <c r="P213" s="4">
        <v>158.09</v>
      </c>
      <c r="Q213" s="4"/>
      <c r="R213" s="4" t="str">
        <f t="shared" si="13"/>
        <v>2024</v>
      </c>
      <c r="S213" s="4" t="str">
        <f t="shared" si="14"/>
        <v>February</v>
      </c>
      <c r="T213" s="4">
        <f t="shared" si="15"/>
        <v>158.09</v>
      </c>
      <c r="U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row>
    <row r="214" spans="1:53" ht="19.95" customHeight="1">
      <c r="A214" s="4">
        <v>213</v>
      </c>
      <c r="B214" s="4" t="s">
        <v>679</v>
      </c>
      <c r="C214" s="4" t="s">
        <v>65</v>
      </c>
      <c r="D214" s="4" t="s">
        <v>75</v>
      </c>
      <c r="E214" s="4" t="s">
        <v>2497</v>
      </c>
      <c r="F214" s="4" t="s">
        <v>43</v>
      </c>
      <c r="G214" s="4" t="s">
        <v>24</v>
      </c>
      <c r="H214" s="4" t="s">
        <v>44</v>
      </c>
      <c r="I214" s="4" t="s">
        <v>681</v>
      </c>
      <c r="J214" s="4" t="s">
        <v>682</v>
      </c>
      <c r="K214" s="5">
        <v>45057</v>
      </c>
      <c r="L214" s="5">
        <v>45372</v>
      </c>
      <c r="M214" s="5">
        <v>45385</v>
      </c>
      <c r="N214" s="6">
        <f t="shared" si="12"/>
        <v>13</v>
      </c>
      <c r="O214" s="4" t="s">
        <v>28</v>
      </c>
      <c r="P214" s="4">
        <v>13719.28</v>
      </c>
      <c r="Q214" s="4"/>
      <c r="R214" s="4" t="str">
        <f t="shared" si="13"/>
        <v>2024</v>
      </c>
      <c r="S214" s="4" t="str">
        <f t="shared" si="14"/>
        <v>March</v>
      </c>
      <c r="T214" s="4">
        <f t="shared" si="15"/>
        <v>13719.28</v>
      </c>
      <c r="U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row>
    <row r="215" spans="1:53" ht="19.95" customHeight="1">
      <c r="A215" s="4">
        <v>214</v>
      </c>
      <c r="B215" s="4" t="s">
        <v>683</v>
      </c>
      <c r="C215" s="4" t="s">
        <v>65</v>
      </c>
      <c r="D215" s="4" t="s">
        <v>75</v>
      </c>
      <c r="E215" s="4" t="s">
        <v>680</v>
      </c>
      <c r="F215" s="4" t="s">
        <v>43</v>
      </c>
      <c r="G215" s="4" t="s">
        <v>24</v>
      </c>
      <c r="H215" s="4" t="s">
        <v>44</v>
      </c>
      <c r="I215" s="4" t="s">
        <v>684</v>
      </c>
      <c r="J215" s="4" t="s">
        <v>685</v>
      </c>
      <c r="K215" s="5">
        <v>45057</v>
      </c>
      <c r="L215" s="5">
        <v>45287</v>
      </c>
      <c r="M215" s="5">
        <v>45304</v>
      </c>
      <c r="N215" s="6">
        <f t="shared" si="12"/>
        <v>17</v>
      </c>
      <c r="O215" s="4" t="s">
        <v>28</v>
      </c>
      <c r="P215" s="4">
        <v>2218</v>
      </c>
      <c r="Q215" s="4"/>
      <c r="R215" s="4" t="str">
        <f t="shared" si="13"/>
        <v>2023</v>
      </c>
      <c r="S215" s="4" t="str">
        <f t="shared" si="14"/>
        <v>December</v>
      </c>
      <c r="T215" s="4">
        <f t="shared" si="15"/>
        <v>2218</v>
      </c>
      <c r="U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row>
    <row r="216" spans="1:53" ht="19.95" customHeight="1">
      <c r="A216" s="4">
        <v>215</v>
      </c>
      <c r="B216" s="4" t="s">
        <v>686</v>
      </c>
      <c r="C216" s="4" t="s">
        <v>20</v>
      </c>
      <c r="D216" s="4" t="s">
        <v>21</v>
      </c>
      <c r="E216" s="4" t="s">
        <v>455</v>
      </c>
      <c r="F216" s="4" t="s">
        <v>23</v>
      </c>
      <c r="G216" s="4" t="s">
        <v>24</v>
      </c>
      <c r="H216" s="4" t="s">
        <v>25</v>
      </c>
      <c r="I216" s="4" t="s">
        <v>687</v>
      </c>
      <c r="J216" s="4" t="s">
        <v>688</v>
      </c>
      <c r="K216" s="5">
        <v>45056</v>
      </c>
      <c r="L216" s="5">
        <v>45117</v>
      </c>
      <c r="M216" s="5">
        <v>45127</v>
      </c>
      <c r="N216" s="6">
        <f t="shared" si="12"/>
        <v>10</v>
      </c>
      <c r="O216" s="4" t="s">
        <v>28</v>
      </c>
      <c r="P216" s="4">
        <v>19864</v>
      </c>
      <c r="Q216" s="4"/>
      <c r="R216" s="4" t="str">
        <f t="shared" si="13"/>
        <v>2023</v>
      </c>
      <c r="S216" s="4" t="str">
        <f t="shared" si="14"/>
        <v>July</v>
      </c>
      <c r="T216" s="4">
        <f t="shared" si="15"/>
        <v>19864</v>
      </c>
      <c r="U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row>
    <row r="217" spans="1:53" ht="19.95" customHeight="1">
      <c r="A217" s="4">
        <v>216</v>
      </c>
      <c r="B217" s="4" t="s">
        <v>689</v>
      </c>
      <c r="C217" s="4" t="s">
        <v>20</v>
      </c>
      <c r="D217" s="4" t="s">
        <v>21</v>
      </c>
      <c r="E217" s="4" t="s">
        <v>39</v>
      </c>
      <c r="F217" s="4" t="s">
        <v>23</v>
      </c>
      <c r="G217" s="4" t="s">
        <v>24</v>
      </c>
      <c r="H217" s="4" t="s">
        <v>25</v>
      </c>
      <c r="I217" s="4" t="s">
        <v>690</v>
      </c>
      <c r="J217" s="4" t="s">
        <v>691</v>
      </c>
      <c r="K217" s="5">
        <v>45055</v>
      </c>
      <c r="L217" s="5">
        <v>45067</v>
      </c>
      <c r="M217" s="5">
        <v>45083</v>
      </c>
      <c r="N217" s="6">
        <f t="shared" si="12"/>
        <v>16</v>
      </c>
      <c r="O217" s="4" t="s">
        <v>28</v>
      </c>
      <c r="P217" s="4">
        <v>7846.17</v>
      </c>
      <c r="Q217" s="4"/>
      <c r="R217" s="4" t="str">
        <f t="shared" si="13"/>
        <v>2023</v>
      </c>
      <c r="S217" s="4" t="str">
        <f t="shared" si="14"/>
        <v>May</v>
      </c>
      <c r="T217" s="4">
        <f t="shared" si="15"/>
        <v>7846.17</v>
      </c>
      <c r="U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row>
    <row r="218" spans="1:53" ht="19.95" customHeight="1">
      <c r="A218" s="4">
        <v>217</v>
      </c>
      <c r="B218" s="4" t="s">
        <v>692</v>
      </c>
      <c r="C218" s="4" t="s">
        <v>20</v>
      </c>
      <c r="D218" s="4" t="s">
        <v>21</v>
      </c>
      <c r="E218" s="4" t="s">
        <v>39</v>
      </c>
      <c r="F218" s="4" t="s">
        <v>23</v>
      </c>
      <c r="G218" s="4" t="s">
        <v>24</v>
      </c>
      <c r="H218" s="4" t="s">
        <v>25</v>
      </c>
      <c r="I218" s="4" t="s">
        <v>693</v>
      </c>
      <c r="J218" s="4" t="s">
        <v>688</v>
      </c>
      <c r="K218" s="5">
        <v>45051</v>
      </c>
      <c r="L218" s="5">
        <v>45127</v>
      </c>
      <c r="M218" s="5">
        <v>45142</v>
      </c>
      <c r="N218" s="6">
        <f t="shared" si="12"/>
        <v>15</v>
      </c>
      <c r="O218" s="4" t="s">
        <v>28</v>
      </c>
      <c r="P218" s="4">
        <v>6181.13</v>
      </c>
      <c r="Q218" s="4"/>
      <c r="R218" s="4" t="str">
        <f t="shared" si="13"/>
        <v>2023</v>
      </c>
      <c r="S218" s="4" t="str">
        <f t="shared" si="14"/>
        <v>July</v>
      </c>
      <c r="T218" s="4">
        <f t="shared" si="15"/>
        <v>6181.13</v>
      </c>
      <c r="U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row>
    <row r="219" spans="1:53" ht="19.95" customHeight="1">
      <c r="A219" s="4">
        <v>218</v>
      </c>
      <c r="B219" s="4" t="s">
        <v>694</v>
      </c>
      <c r="C219" s="4" t="s">
        <v>20</v>
      </c>
      <c r="D219" s="4" t="s">
        <v>21</v>
      </c>
      <c r="E219" s="4" t="s">
        <v>39</v>
      </c>
      <c r="F219" s="4" t="s">
        <v>23</v>
      </c>
      <c r="G219" s="4" t="s">
        <v>24</v>
      </c>
      <c r="H219" s="4" t="s">
        <v>25</v>
      </c>
      <c r="I219" s="4" t="s">
        <v>695</v>
      </c>
      <c r="J219" s="4" t="s">
        <v>696</v>
      </c>
      <c r="K219" s="5">
        <v>45051</v>
      </c>
      <c r="L219" s="5">
        <v>45130</v>
      </c>
      <c r="M219" s="5">
        <v>45145</v>
      </c>
      <c r="N219" s="6">
        <f t="shared" si="12"/>
        <v>15</v>
      </c>
      <c r="O219" s="4" t="s">
        <v>28</v>
      </c>
      <c r="P219" s="4">
        <v>4817.6499999999996</v>
      </c>
      <c r="Q219" s="4"/>
      <c r="R219" s="4" t="str">
        <f t="shared" si="13"/>
        <v>2023</v>
      </c>
      <c r="S219" s="4" t="str">
        <f t="shared" si="14"/>
        <v>July</v>
      </c>
      <c r="T219" s="4">
        <f t="shared" si="15"/>
        <v>4817.6499999999996</v>
      </c>
      <c r="U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row>
    <row r="220" spans="1:53" ht="19.95" customHeight="1">
      <c r="A220" s="4">
        <v>219</v>
      </c>
      <c r="B220" s="4" t="s">
        <v>697</v>
      </c>
      <c r="C220" s="4" t="s">
        <v>65</v>
      </c>
      <c r="D220" s="4" t="s">
        <v>56</v>
      </c>
      <c r="E220" s="4" t="s">
        <v>672</v>
      </c>
      <c r="F220" s="4" t="s">
        <v>43</v>
      </c>
      <c r="G220" s="4" t="s">
        <v>24</v>
      </c>
      <c r="H220" s="4" t="s">
        <v>44</v>
      </c>
      <c r="I220" s="4" t="s">
        <v>698</v>
      </c>
      <c r="J220" s="4" t="s">
        <v>699</v>
      </c>
      <c r="K220" s="5">
        <v>45050</v>
      </c>
      <c r="L220" s="5">
        <v>45108</v>
      </c>
      <c r="M220" s="5">
        <v>45121</v>
      </c>
      <c r="N220" s="6">
        <f t="shared" si="12"/>
        <v>13</v>
      </c>
      <c r="O220" s="4" t="s">
        <v>28</v>
      </c>
      <c r="P220" s="4">
        <v>7732.57</v>
      </c>
      <c r="Q220" s="4"/>
      <c r="R220" s="4" t="str">
        <f t="shared" si="13"/>
        <v>2023</v>
      </c>
      <c r="S220" s="4" t="str">
        <f t="shared" si="14"/>
        <v>July</v>
      </c>
      <c r="T220" s="4">
        <f t="shared" si="15"/>
        <v>7732.57</v>
      </c>
      <c r="U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row>
    <row r="221" spans="1:53" ht="19.95" customHeight="1">
      <c r="A221" s="4">
        <v>220</v>
      </c>
      <c r="B221" s="4" t="s">
        <v>700</v>
      </c>
      <c r="C221" s="4" t="s">
        <v>20</v>
      </c>
      <c r="D221" s="4" t="s">
        <v>56</v>
      </c>
      <c r="E221" s="4" t="s">
        <v>39</v>
      </c>
      <c r="F221" s="4" t="s">
        <v>23</v>
      </c>
      <c r="G221" s="4" t="s">
        <v>24</v>
      </c>
      <c r="H221" s="4" t="s">
        <v>25</v>
      </c>
      <c r="I221" s="4" t="s">
        <v>701</v>
      </c>
      <c r="J221" s="4" t="s">
        <v>702</v>
      </c>
      <c r="K221" s="5">
        <v>45050</v>
      </c>
      <c r="L221" s="5">
        <v>45280</v>
      </c>
      <c r="M221" s="5">
        <v>45288</v>
      </c>
      <c r="N221" s="6">
        <f t="shared" si="12"/>
        <v>8</v>
      </c>
      <c r="O221" s="4" t="s">
        <v>28</v>
      </c>
      <c r="P221" s="4">
        <v>8035.33</v>
      </c>
      <c r="Q221" s="4"/>
      <c r="R221" s="4" t="str">
        <f t="shared" si="13"/>
        <v>2023</v>
      </c>
      <c r="S221" s="4" t="str">
        <f t="shared" si="14"/>
        <v>December</v>
      </c>
      <c r="T221" s="4">
        <f t="shared" si="15"/>
        <v>8035.33</v>
      </c>
      <c r="U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row>
    <row r="222" spans="1:53" ht="19.95" customHeight="1">
      <c r="A222" s="4">
        <v>221</v>
      </c>
      <c r="B222" s="4" t="s">
        <v>703</v>
      </c>
      <c r="C222" s="4" t="s">
        <v>20</v>
      </c>
      <c r="D222" s="4" t="s">
        <v>38</v>
      </c>
      <c r="E222" s="4" t="s">
        <v>39</v>
      </c>
      <c r="F222" s="4" t="s">
        <v>43</v>
      </c>
      <c r="G222" s="4" t="s">
        <v>24</v>
      </c>
      <c r="H222" s="4" t="s">
        <v>44</v>
      </c>
      <c r="I222" s="4" t="s">
        <v>704</v>
      </c>
      <c r="J222" s="4" t="s">
        <v>705</v>
      </c>
      <c r="K222" s="5">
        <v>45044</v>
      </c>
      <c r="L222" s="5">
        <v>45120</v>
      </c>
      <c r="M222" s="5">
        <v>45138</v>
      </c>
      <c r="N222" s="6">
        <f t="shared" si="12"/>
        <v>18</v>
      </c>
      <c r="O222" s="4" t="s">
        <v>28</v>
      </c>
      <c r="P222" s="4">
        <v>8926</v>
      </c>
      <c r="Q222" s="4"/>
      <c r="R222" s="4" t="str">
        <f t="shared" si="13"/>
        <v>2023</v>
      </c>
      <c r="S222" s="4" t="str">
        <f t="shared" si="14"/>
        <v>July</v>
      </c>
      <c r="T222" s="4">
        <f t="shared" si="15"/>
        <v>8926</v>
      </c>
      <c r="U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row>
    <row r="223" spans="1:53" ht="19.95" customHeight="1">
      <c r="A223" s="4">
        <v>222</v>
      </c>
      <c r="B223" s="4" t="s">
        <v>706</v>
      </c>
      <c r="C223" s="4" t="s">
        <v>20</v>
      </c>
      <c r="D223" s="4" t="s">
        <v>21</v>
      </c>
      <c r="E223" s="4" t="s">
        <v>455</v>
      </c>
      <c r="F223" s="4" t="s">
        <v>23</v>
      </c>
      <c r="G223" s="4" t="s">
        <v>24</v>
      </c>
      <c r="H223" s="4" t="s">
        <v>25</v>
      </c>
      <c r="I223" s="4" t="s">
        <v>707</v>
      </c>
      <c r="J223" s="4" t="s">
        <v>708</v>
      </c>
      <c r="K223" s="5">
        <v>45043</v>
      </c>
      <c r="L223" s="5">
        <v>45083</v>
      </c>
      <c r="M223" s="5">
        <v>45103</v>
      </c>
      <c r="N223" s="6">
        <f t="shared" si="12"/>
        <v>20</v>
      </c>
      <c r="O223" s="4" t="s">
        <v>28</v>
      </c>
      <c r="P223" s="4">
        <v>9587.1299999999992</v>
      </c>
      <c r="Q223" s="4"/>
      <c r="R223" s="4" t="str">
        <f t="shared" si="13"/>
        <v>2023</v>
      </c>
      <c r="S223" s="4" t="str">
        <f t="shared" si="14"/>
        <v>June</v>
      </c>
      <c r="T223" s="4">
        <f t="shared" si="15"/>
        <v>9587.1299999999992</v>
      </c>
      <c r="U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row>
    <row r="224" spans="1:53" ht="19.95" customHeight="1">
      <c r="A224" s="4">
        <v>223</v>
      </c>
      <c r="B224" s="4" t="s">
        <v>709</v>
      </c>
      <c r="C224" s="4" t="s">
        <v>20</v>
      </c>
      <c r="D224" s="4" t="s">
        <v>21</v>
      </c>
      <c r="E224" s="4" t="s">
        <v>455</v>
      </c>
      <c r="F224" s="4" t="s">
        <v>23</v>
      </c>
      <c r="G224" s="4" t="s">
        <v>24</v>
      </c>
      <c r="H224" s="4" t="s">
        <v>25</v>
      </c>
      <c r="I224" s="4" t="s">
        <v>710</v>
      </c>
      <c r="J224" s="4" t="s">
        <v>711</v>
      </c>
      <c r="K224" s="5">
        <v>45042</v>
      </c>
      <c r="L224" s="5">
        <v>45101</v>
      </c>
      <c r="M224" s="5">
        <v>45116</v>
      </c>
      <c r="N224" s="6">
        <f t="shared" si="12"/>
        <v>15</v>
      </c>
      <c r="O224" s="4" t="s">
        <v>28</v>
      </c>
      <c r="P224" s="4">
        <v>8760.3700000000008</v>
      </c>
      <c r="Q224" s="4"/>
      <c r="R224" s="4" t="str">
        <f t="shared" si="13"/>
        <v>2023</v>
      </c>
      <c r="S224" s="4" t="str">
        <f t="shared" si="14"/>
        <v>June</v>
      </c>
      <c r="T224" s="4">
        <f t="shared" si="15"/>
        <v>8760.3700000000008</v>
      </c>
      <c r="U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row>
    <row r="225" spans="1:53" ht="19.95" customHeight="1">
      <c r="A225" s="4">
        <v>224</v>
      </c>
      <c r="B225" s="4" t="s">
        <v>712</v>
      </c>
      <c r="C225" s="4" t="s">
        <v>65</v>
      </c>
      <c r="D225" s="4" t="s">
        <v>21</v>
      </c>
      <c r="E225" s="4" t="s">
        <v>672</v>
      </c>
      <c r="F225" s="4" t="s">
        <v>223</v>
      </c>
      <c r="G225" s="4" t="s">
        <v>24</v>
      </c>
      <c r="H225" s="4" t="s">
        <v>224</v>
      </c>
      <c r="I225" s="4" t="s">
        <v>713</v>
      </c>
      <c r="J225" s="4" t="s">
        <v>714</v>
      </c>
      <c r="K225" s="5">
        <v>45041</v>
      </c>
      <c r="L225" s="5">
        <v>45065</v>
      </c>
      <c r="M225" s="5">
        <v>45077</v>
      </c>
      <c r="N225" s="6">
        <f t="shared" si="12"/>
        <v>12</v>
      </c>
      <c r="O225" s="4" t="s">
        <v>28</v>
      </c>
      <c r="P225" s="4">
        <v>5994.74</v>
      </c>
      <c r="Q225" s="4"/>
      <c r="R225" s="4" t="str">
        <f t="shared" si="13"/>
        <v>2023</v>
      </c>
      <c r="S225" s="4" t="str">
        <f t="shared" si="14"/>
        <v>May</v>
      </c>
      <c r="T225" s="4">
        <f t="shared" si="15"/>
        <v>5994.74</v>
      </c>
      <c r="U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row>
    <row r="226" spans="1:53" ht="19.95" customHeight="1">
      <c r="A226" s="4">
        <v>225</v>
      </c>
      <c r="B226" s="4" t="s">
        <v>715</v>
      </c>
      <c r="C226" s="4" t="s">
        <v>65</v>
      </c>
      <c r="D226" s="4" t="s">
        <v>56</v>
      </c>
      <c r="E226" s="4" t="s">
        <v>31</v>
      </c>
      <c r="F226" s="4" t="s">
        <v>23</v>
      </c>
      <c r="G226" s="4" t="s">
        <v>24</v>
      </c>
      <c r="H226" s="4" t="s">
        <v>25</v>
      </c>
      <c r="I226" s="4" t="s">
        <v>716</v>
      </c>
      <c r="J226" s="4" t="s">
        <v>717</v>
      </c>
      <c r="K226" s="5">
        <v>45040</v>
      </c>
      <c r="L226" s="5">
        <v>45338</v>
      </c>
      <c r="M226" s="5">
        <v>45360</v>
      </c>
      <c r="N226" s="6">
        <f t="shared" si="12"/>
        <v>22</v>
      </c>
      <c r="O226" s="4" t="s">
        <v>28</v>
      </c>
      <c r="P226" s="4">
        <v>29494.03</v>
      </c>
      <c r="Q226" s="4"/>
      <c r="R226" s="4" t="str">
        <f t="shared" si="13"/>
        <v>2024</v>
      </c>
      <c r="S226" s="4" t="str">
        <f t="shared" si="14"/>
        <v>February</v>
      </c>
      <c r="T226" s="4">
        <f t="shared" si="15"/>
        <v>29494.03</v>
      </c>
      <c r="U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row>
    <row r="227" spans="1:53" ht="19.95" customHeight="1">
      <c r="A227" s="4">
        <v>226</v>
      </c>
      <c r="B227" s="4" t="s">
        <v>718</v>
      </c>
      <c r="C227" s="4" t="s">
        <v>20</v>
      </c>
      <c r="D227" s="4" t="s">
        <v>21</v>
      </c>
      <c r="E227" s="4" t="s">
        <v>455</v>
      </c>
      <c r="F227" s="4" t="s">
        <v>23</v>
      </c>
      <c r="G227" s="4" t="s">
        <v>24</v>
      </c>
      <c r="H227" s="4" t="s">
        <v>25</v>
      </c>
      <c r="I227" s="4" t="s">
        <v>719</v>
      </c>
      <c r="J227" s="4" t="s">
        <v>720</v>
      </c>
      <c r="K227" s="5">
        <v>45037</v>
      </c>
      <c r="L227" s="5">
        <v>45240</v>
      </c>
      <c r="M227" s="5">
        <v>45254</v>
      </c>
      <c r="N227" s="6">
        <f t="shared" si="12"/>
        <v>14</v>
      </c>
      <c r="O227" s="4" t="s">
        <v>28</v>
      </c>
      <c r="P227" s="4">
        <v>23171.62</v>
      </c>
      <c r="Q227" s="4"/>
      <c r="R227" s="4" t="str">
        <f t="shared" si="13"/>
        <v>2023</v>
      </c>
      <c r="S227" s="4" t="str">
        <f t="shared" si="14"/>
        <v>November</v>
      </c>
      <c r="T227" s="4">
        <f t="shared" si="15"/>
        <v>23171.62</v>
      </c>
      <c r="U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row>
    <row r="228" spans="1:53" ht="19.95" customHeight="1">
      <c r="A228" s="4">
        <v>227</v>
      </c>
      <c r="B228" s="4" t="s">
        <v>721</v>
      </c>
      <c r="C228" s="4" t="s">
        <v>20</v>
      </c>
      <c r="D228" s="4" t="s">
        <v>56</v>
      </c>
      <c r="E228" s="4" t="s">
        <v>39</v>
      </c>
      <c r="F228" s="4" t="s">
        <v>722</v>
      </c>
      <c r="G228" s="4" t="s">
        <v>24</v>
      </c>
      <c r="H228" s="4" t="s">
        <v>723</v>
      </c>
      <c r="I228" s="4" t="s">
        <v>724</v>
      </c>
      <c r="J228" s="4" t="s">
        <v>725</v>
      </c>
      <c r="K228" s="5">
        <v>45037</v>
      </c>
      <c r="L228" s="5">
        <v>45049</v>
      </c>
      <c r="M228" s="5">
        <v>45059</v>
      </c>
      <c r="N228" s="6">
        <f t="shared" si="12"/>
        <v>10</v>
      </c>
      <c r="O228" s="4" t="s">
        <v>28</v>
      </c>
      <c r="P228" s="4">
        <v>2339.9899999999998</v>
      </c>
      <c r="Q228" s="4"/>
      <c r="R228" s="4" t="str">
        <f t="shared" si="13"/>
        <v>2023</v>
      </c>
      <c r="S228" s="4" t="str">
        <f t="shared" si="14"/>
        <v>May</v>
      </c>
      <c r="T228" s="4">
        <f t="shared" si="15"/>
        <v>2339.9899999999998</v>
      </c>
      <c r="U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row>
    <row r="229" spans="1:53" ht="19.95" customHeight="1">
      <c r="A229" s="4">
        <v>228</v>
      </c>
      <c r="B229" s="4" t="s">
        <v>726</v>
      </c>
      <c r="C229" s="4" t="s">
        <v>20</v>
      </c>
      <c r="D229" s="4" t="s">
        <v>38</v>
      </c>
      <c r="E229" s="4" t="s">
        <v>161</v>
      </c>
      <c r="F229" s="4" t="s">
        <v>23</v>
      </c>
      <c r="G229" s="4" t="s">
        <v>24</v>
      </c>
      <c r="H229" s="4" t="s">
        <v>25</v>
      </c>
      <c r="I229" s="4" t="s">
        <v>727</v>
      </c>
      <c r="J229" s="4" t="s">
        <v>728</v>
      </c>
      <c r="K229" s="5">
        <v>45035</v>
      </c>
      <c r="L229" s="5">
        <v>45150</v>
      </c>
      <c r="M229" s="5">
        <v>45165</v>
      </c>
      <c r="N229" s="6">
        <f t="shared" si="12"/>
        <v>15</v>
      </c>
      <c r="O229" s="4" t="s">
        <v>28</v>
      </c>
      <c r="P229" s="4">
        <v>11940</v>
      </c>
      <c r="Q229" s="4"/>
      <c r="R229" s="4" t="str">
        <f t="shared" si="13"/>
        <v>2023</v>
      </c>
      <c r="S229" s="4" t="str">
        <f t="shared" si="14"/>
        <v>August</v>
      </c>
      <c r="T229" s="4">
        <f t="shared" si="15"/>
        <v>11940</v>
      </c>
      <c r="U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row>
    <row r="230" spans="1:53" ht="19.95" customHeight="1">
      <c r="A230" s="4">
        <v>229</v>
      </c>
      <c r="B230" s="4" t="s">
        <v>729</v>
      </c>
      <c r="C230" s="4" t="s">
        <v>20</v>
      </c>
      <c r="D230" s="4" t="s">
        <v>21</v>
      </c>
      <c r="E230" s="4" t="s">
        <v>39</v>
      </c>
      <c r="F230" s="4" t="s">
        <v>23</v>
      </c>
      <c r="G230" s="4" t="s">
        <v>24</v>
      </c>
      <c r="H230" s="4" t="s">
        <v>25</v>
      </c>
      <c r="I230" s="4" t="s">
        <v>730</v>
      </c>
      <c r="J230" s="4" t="s">
        <v>731</v>
      </c>
      <c r="K230" s="5">
        <v>45029</v>
      </c>
      <c r="L230" s="5">
        <v>45148</v>
      </c>
      <c r="M230" s="5">
        <v>45163</v>
      </c>
      <c r="N230" s="6">
        <f t="shared" si="12"/>
        <v>15</v>
      </c>
      <c r="O230" s="4" t="s">
        <v>28</v>
      </c>
      <c r="P230" s="4">
        <v>13661.7</v>
      </c>
      <c r="Q230" s="4"/>
      <c r="R230" s="4" t="str">
        <f t="shared" si="13"/>
        <v>2023</v>
      </c>
      <c r="S230" s="4" t="str">
        <f t="shared" si="14"/>
        <v>August</v>
      </c>
      <c r="T230" s="4">
        <f t="shared" si="15"/>
        <v>13661.7</v>
      </c>
      <c r="U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row>
    <row r="231" spans="1:53" ht="19.95" customHeight="1">
      <c r="A231" s="4">
        <v>230</v>
      </c>
      <c r="B231" s="4" t="s">
        <v>732</v>
      </c>
      <c r="C231" s="4" t="s">
        <v>65</v>
      </c>
      <c r="D231" s="4" t="s">
        <v>56</v>
      </c>
      <c r="E231" s="4" t="s">
        <v>455</v>
      </c>
      <c r="F231" s="4" t="s">
        <v>43</v>
      </c>
      <c r="G231" s="4" t="s">
        <v>24</v>
      </c>
      <c r="H231" s="4" t="s">
        <v>44</v>
      </c>
      <c r="I231" s="4" t="s">
        <v>733</v>
      </c>
      <c r="J231" s="4" t="s">
        <v>734</v>
      </c>
      <c r="K231" s="5">
        <v>45026</v>
      </c>
      <c r="L231" s="5">
        <v>45293</v>
      </c>
      <c r="M231" s="5">
        <v>45306</v>
      </c>
      <c r="N231" s="6">
        <f t="shared" si="12"/>
        <v>13</v>
      </c>
      <c r="O231" s="4" t="s">
        <v>28</v>
      </c>
      <c r="P231" s="4">
        <v>16517.27</v>
      </c>
      <c r="Q231" s="4"/>
      <c r="R231" s="4" t="str">
        <f t="shared" si="13"/>
        <v>2024</v>
      </c>
      <c r="S231" s="4" t="str">
        <f t="shared" si="14"/>
        <v>January</v>
      </c>
      <c r="T231" s="4">
        <f t="shared" si="15"/>
        <v>16517.27</v>
      </c>
      <c r="U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row>
    <row r="232" spans="1:53" ht="19.95" customHeight="1">
      <c r="A232" s="4">
        <v>231</v>
      </c>
      <c r="B232" s="4" t="s">
        <v>735</v>
      </c>
      <c r="C232" s="4" t="s">
        <v>65</v>
      </c>
      <c r="D232" s="4" t="s">
        <v>56</v>
      </c>
      <c r="E232" s="4" t="s">
        <v>345</v>
      </c>
      <c r="F232" s="4" t="s">
        <v>285</v>
      </c>
      <c r="G232" s="4" t="s">
        <v>24</v>
      </c>
      <c r="H232" s="4" t="s">
        <v>286</v>
      </c>
      <c r="I232" s="4" t="s">
        <v>736</v>
      </c>
      <c r="J232" s="4" t="s">
        <v>737</v>
      </c>
      <c r="K232" s="5">
        <v>45023</v>
      </c>
      <c r="L232" s="5">
        <v>45084</v>
      </c>
      <c r="M232" s="5">
        <v>45091</v>
      </c>
      <c r="N232" s="6">
        <f t="shared" si="12"/>
        <v>7</v>
      </c>
      <c r="O232" s="4" t="s">
        <v>28</v>
      </c>
      <c r="P232" s="4">
        <v>4034.89</v>
      </c>
      <c r="Q232" s="4"/>
      <c r="R232" s="4" t="str">
        <f t="shared" si="13"/>
        <v>2023</v>
      </c>
      <c r="S232" s="4" t="str">
        <f t="shared" si="14"/>
        <v>June</v>
      </c>
      <c r="T232" s="4">
        <f t="shared" si="15"/>
        <v>4034.89</v>
      </c>
      <c r="U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row>
    <row r="233" spans="1:53" ht="19.95" customHeight="1">
      <c r="A233" s="4">
        <v>232</v>
      </c>
      <c r="B233" s="4" t="s">
        <v>738</v>
      </c>
      <c r="C233" s="4" t="s">
        <v>65</v>
      </c>
      <c r="D233" s="4" t="s">
        <v>56</v>
      </c>
      <c r="E233" s="4" t="s">
        <v>345</v>
      </c>
      <c r="F233" s="4" t="s">
        <v>589</v>
      </c>
      <c r="G233" s="4" t="s">
        <v>24</v>
      </c>
      <c r="H233" s="4" t="s">
        <v>346</v>
      </c>
      <c r="I233" s="4" t="s">
        <v>739</v>
      </c>
      <c r="J233" s="4" t="s">
        <v>740</v>
      </c>
      <c r="K233" s="5">
        <v>45023</v>
      </c>
      <c r="L233" s="5">
        <v>45258</v>
      </c>
      <c r="M233" s="5">
        <v>45272</v>
      </c>
      <c r="N233" s="6">
        <f t="shared" si="12"/>
        <v>14</v>
      </c>
      <c r="O233" s="4" t="s">
        <v>28</v>
      </c>
      <c r="P233" s="4">
        <v>6289.24</v>
      </c>
      <c r="Q233" s="4"/>
      <c r="R233" s="4" t="str">
        <f t="shared" si="13"/>
        <v>2023</v>
      </c>
      <c r="S233" s="4" t="str">
        <f t="shared" si="14"/>
        <v>November</v>
      </c>
      <c r="T233" s="4">
        <f t="shared" si="15"/>
        <v>6289.24</v>
      </c>
      <c r="U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row>
    <row r="234" spans="1:53" ht="19.95" customHeight="1">
      <c r="A234" s="4">
        <v>233</v>
      </c>
      <c r="B234" s="4" t="s">
        <v>741</v>
      </c>
      <c r="C234" s="4" t="s">
        <v>65</v>
      </c>
      <c r="D234" s="4" t="s">
        <v>56</v>
      </c>
      <c r="E234" s="4" t="s">
        <v>672</v>
      </c>
      <c r="F234" s="4" t="s">
        <v>589</v>
      </c>
      <c r="G234" s="4" t="s">
        <v>24</v>
      </c>
      <c r="H234" s="4" t="s">
        <v>346</v>
      </c>
      <c r="I234" s="4" t="s">
        <v>742</v>
      </c>
      <c r="J234" s="4" t="s">
        <v>743</v>
      </c>
      <c r="K234" s="5">
        <v>45022</v>
      </c>
      <c r="L234" s="5">
        <v>45028</v>
      </c>
      <c r="M234" s="5">
        <v>45028</v>
      </c>
      <c r="N234" s="6">
        <f t="shared" si="12"/>
        <v>0</v>
      </c>
      <c r="O234" s="4" t="s">
        <v>28</v>
      </c>
      <c r="P234" s="4">
        <v>1049.99</v>
      </c>
      <c r="Q234" s="4"/>
      <c r="R234" s="4" t="str">
        <f t="shared" si="13"/>
        <v>2023</v>
      </c>
      <c r="S234" s="4" t="str">
        <f t="shared" si="14"/>
        <v>April</v>
      </c>
      <c r="T234" s="4">
        <f t="shared" si="15"/>
        <v>1049.99</v>
      </c>
      <c r="U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row>
    <row r="235" spans="1:53" ht="19.95" customHeight="1">
      <c r="A235" s="4">
        <v>234</v>
      </c>
      <c r="B235" s="4" t="s">
        <v>744</v>
      </c>
      <c r="C235" s="4" t="s">
        <v>20</v>
      </c>
      <c r="D235" s="4" t="s">
        <v>56</v>
      </c>
      <c r="E235" s="4" t="s">
        <v>31</v>
      </c>
      <c r="F235" s="4" t="s">
        <v>23</v>
      </c>
      <c r="G235" s="4" t="s">
        <v>24</v>
      </c>
      <c r="H235" s="4" t="s">
        <v>25</v>
      </c>
      <c r="I235" s="4" t="s">
        <v>745</v>
      </c>
      <c r="J235" s="4" t="s">
        <v>746</v>
      </c>
      <c r="K235" s="5">
        <v>45020</v>
      </c>
      <c r="L235" s="5">
        <v>45120</v>
      </c>
      <c r="M235" s="5">
        <v>45135</v>
      </c>
      <c r="N235" s="6">
        <f t="shared" si="12"/>
        <v>15</v>
      </c>
      <c r="O235" s="4" t="s">
        <v>28</v>
      </c>
      <c r="P235" s="4">
        <v>4453.67</v>
      </c>
      <c r="Q235" s="4"/>
      <c r="R235" s="4" t="str">
        <f t="shared" si="13"/>
        <v>2023</v>
      </c>
      <c r="S235" s="4" t="str">
        <f t="shared" si="14"/>
        <v>July</v>
      </c>
      <c r="T235" s="4">
        <f t="shared" si="15"/>
        <v>4453.67</v>
      </c>
      <c r="U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row>
    <row r="236" spans="1:53" ht="19.95" customHeight="1">
      <c r="A236" s="4">
        <v>235</v>
      </c>
      <c r="B236" s="4" t="s">
        <v>747</v>
      </c>
      <c r="C236" s="4" t="s">
        <v>65</v>
      </c>
      <c r="D236" s="4" t="s">
        <v>38</v>
      </c>
      <c r="E236" s="4" t="s">
        <v>76</v>
      </c>
      <c r="F236" s="4" t="s">
        <v>23</v>
      </c>
      <c r="G236" s="4" t="s">
        <v>24</v>
      </c>
      <c r="H236" s="4" t="s">
        <v>25</v>
      </c>
      <c r="I236" s="4" t="s">
        <v>748</v>
      </c>
      <c r="J236" s="4" t="s">
        <v>749</v>
      </c>
      <c r="K236" s="5">
        <v>45014</v>
      </c>
      <c r="L236" s="5">
        <v>45033</v>
      </c>
      <c r="M236" s="5">
        <v>45038</v>
      </c>
      <c r="N236" s="6">
        <f t="shared" si="12"/>
        <v>5</v>
      </c>
      <c r="O236" s="4" t="s">
        <v>28</v>
      </c>
      <c r="P236" s="4">
        <v>3899.4</v>
      </c>
      <c r="Q236" s="4"/>
      <c r="R236" s="4" t="str">
        <f t="shared" si="13"/>
        <v>2023</v>
      </c>
      <c r="S236" s="4" t="str">
        <f t="shared" si="14"/>
        <v>April</v>
      </c>
      <c r="T236" s="4">
        <f t="shared" si="15"/>
        <v>3899.4</v>
      </c>
      <c r="U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row>
    <row r="237" spans="1:53" ht="19.95" customHeight="1">
      <c r="A237" s="4">
        <v>236</v>
      </c>
      <c r="B237" s="4" t="s">
        <v>750</v>
      </c>
      <c r="C237" s="4" t="s">
        <v>20</v>
      </c>
      <c r="D237" s="4" t="s">
        <v>21</v>
      </c>
      <c r="E237" s="4" t="s">
        <v>455</v>
      </c>
      <c r="F237" s="4" t="s">
        <v>23</v>
      </c>
      <c r="G237" s="4" t="s">
        <v>24</v>
      </c>
      <c r="H237" s="4" t="s">
        <v>25</v>
      </c>
      <c r="I237" s="4" t="s">
        <v>751</v>
      </c>
      <c r="J237" s="4" t="s">
        <v>752</v>
      </c>
      <c r="K237" s="5">
        <v>45011</v>
      </c>
      <c r="L237" s="5">
        <v>45325</v>
      </c>
      <c r="M237" s="5">
        <v>45340</v>
      </c>
      <c r="N237" s="6">
        <f t="shared" si="12"/>
        <v>15</v>
      </c>
      <c r="O237" s="4" t="s">
        <v>28</v>
      </c>
      <c r="P237" s="4">
        <v>7569.5</v>
      </c>
      <c r="Q237" s="4"/>
      <c r="R237" s="4" t="str">
        <f t="shared" si="13"/>
        <v>2024</v>
      </c>
      <c r="S237" s="4" t="str">
        <f t="shared" si="14"/>
        <v>February</v>
      </c>
      <c r="T237" s="4">
        <f t="shared" si="15"/>
        <v>7569.5</v>
      </c>
      <c r="U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row>
    <row r="238" spans="1:53" ht="19.95" customHeight="1">
      <c r="A238" s="4">
        <v>237</v>
      </c>
      <c r="B238" s="4" t="s">
        <v>753</v>
      </c>
      <c r="C238" s="4" t="s">
        <v>20</v>
      </c>
      <c r="D238" s="4" t="s">
        <v>56</v>
      </c>
      <c r="E238" s="4" t="s">
        <v>455</v>
      </c>
      <c r="F238" s="4" t="s">
        <v>23</v>
      </c>
      <c r="G238" s="4" t="s">
        <v>24</v>
      </c>
      <c r="H238" s="4" t="s">
        <v>25</v>
      </c>
      <c r="I238" s="4" t="s">
        <v>754</v>
      </c>
      <c r="J238" s="4" t="s">
        <v>755</v>
      </c>
      <c r="K238" s="5">
        <v>45011</v>
      </c>
      <c r="L238" s="5">
        <v>45045</v>
      </c>
      <c r="M238" s="5">
        <v>45053</v>
      </c>
      <c r="N238" s="6">
        <f t="shared" si="12"/>
        <v>8</v>
      </c>
      <c r="O238" s="4" t="s">
        <v>28</v>
      </c>
      <c r="P238" s="4">
        <v>1154.47</v>
      </c>
      <c r="Q238" s="4"/>
      <c r="R238" s="4" t="str">
        <f t="shared" si="13"/>
        <v>2023</v>
      </c>
      <c r="S238" s="4" t="str">
        <f t="shared" si="14"/>
        <v>April</v>
      </c>
      <c r="T238" s="4">
        <f t="shared" si="15"/>
        <v>1154.47</v>
      </c>
      <c r="U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row>
    <row r="239" spans="1:53" ht="19.95" customHeight="1">
      <c r="A239" s="4">
        <v>238</v>
      </c>
      <c r="B239" s="4" t="s">
        <v>756</v>
      </c>
      <c r="C239" s="4" t="s">
        <v>20</v>
      </c>
      <c r="D239" s="4" t="s">
        <v>56</v>
      </c>
      <c r="E239" s="4" t="s">
        <v>39</v>
      </c>
      <c r="F239" s="4" t="s">
        <v>23</v>
      </c>
      <c r="G239" s="4" t="s">
        <v>24</v>
      </c>
      <c r="H239" s="4" t="s">
        <v>25</v>
      </c>
      <c r="I239" s="4" t="s">
        <v>757</v>
      </c>
      <c r="J239" s="4" t="s">
        <v>758</v>
      </c>
      <c r="K239" s="5">
        <v>45009</v>
      </c>
      <c r="L239" s="5">
        <v>45127</v>
      </c>
      <c r="M239" s="5">
        <v>45151</v>
      </c>
      <c r="N239" s="6">
        <f t="shared" si="12"/>
        <v>24</v>
      </c>
      <c r="O239" s="4" t="s">
        <v>28</v>
      </c>
      <c r="P239" s="4">
        <v>20935.79</v>
      </c>
      <c r="Q239" s="4"/>
      <c r="R239" s="4" t="str">
        <f t="shared" si="13"/>
        <v>2023</v>
      </c>
      <c r="S239" s="4" t="str">
        <f t="shared" si="14"/>
        <v>July</v>
      </c>
      <c r="T239" s="4">
        <f t="shared" si="15"/>
        <v>20935.79</v>
      </c>
      <c r="U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row>
    <row r="240" spans="1:53" ht="19.95" customHeight="1">
      <c r="A240" s="4">
        <v>239</v>
      </c>
      <c r="B240" s="4" t="s">
        <v>759</v>
      </c>
      <c r="C240" s="4" t="s">
        <v>20</v>
      </c>
      <c r="D240" s="4" t="s">
        <v>301</v>
      </c>
      <c r="E240" s="4" t="s">
        <v>455</v>
      </c>
      <c r="F240" s="4" t="s">
        <v>24</v>
      </c>
      <c r="G240" s="4" t="s">
        <v>24</v>
      </c>
      <c r="H240" s="4" t="s">
        <v>200</v>
      </c>
      <c r="I240" s="4" t="s">
        <v>760</v>
      </c>
      <c r="J240" s="4" t="s">
        <v>761</v>
      </c>
      <c r="K240" s="5">
        <v>45007</v>
      </c>
      <c r="L240" s="5">
        <v>45011</v>
      </c>
      <c r="M240" s="5">
        <v>45012</v>
      </c>
      <c r="N240" s="6">
        <f t="shared" si="12"/>
        <v>1</v>
      </c>
      <c r="O240" s="4" t="s">
        <v>762</v>
      </c>
      <c r="P240" s="4">
        <v>0</v>
      </c>
      <c r="Q240" s="4"/>
      <c r="R240" s="4" t="str">
        <f t="shared" si="13"/>
        <v>2023</v>
      </c>
      <c r="S240" s="4" t="str">
        <f t="shared" si="14"/>
        <v>March</v>
      </c>
      <c r="T240" s="4">
        <f t="shared" si="15"/>
        <v>0</v>
      </c>
      <c r="U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row>
    <row r="241" spans="1:53" ht="19.95" customHeight="1">
      <c r="A241" s="4">
        <v>240</v>
      </c>
      <c r="B241" s="4" t="s">
        <v>763</v>
      </c>
      <c r="C241" s="4" t="s">
        <v>65</v>
      </c>
      <c r="D241" s="4" t="s">
        <v>56</v>
      </c>
      <c r="E241" s="4" t="s">
        <v>672</v>
      </c>
      <c r="F241" s="4" t="s">
        <v>43</v>
      </c>
      <c r="G241" s="4" t="s">
        <v>24</v>
      </c>
      <c r="H241" s="4" t="s">
        <v>44</v>
      </c>
      <c r="I241" s="4" t="s">
        <v>764</v>
      </c>
      <c r="J241" s="4" t="s">
        <v>765</v>
      </c>
      <c r="K241" s="5">
        <v>45006</v>
      </c>
      <c r="L241" s="5">
        <v>45021</v>
      </c>
      <c r="M241" s="5">
        <v>45033</v>
      </c>
      <c r="N241" s="6">
        <f t="shared" si="12"/>
        <v>12</v>
      </c>
      <c r="O241" s="4" t="s">
        <v>28</v>
      </c>
      <c r="P241" s="4">
        <v>10032.98</v>
      </c>
      <c r="Q241" s="4"/>
      <c r="R241" s="4" t="str">
        <f t="shared" si="13"/>
        <v>2023</v>
      </c>
      <c r="S241" s="4" t="str">
        <f t="shared" si="14"/>
        <v>April</v>
      </c>
      <c r="T241" s="4">
        <f t="shared" si="15"/>
        <v>10032.98</v>
      </c>
      <c r="U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row>
    <row r="242" spans="1:53" ht="19.95" customHeight="1">
      <c r="A242" s="4">
        <v>241</v>
      </c>
      <c r="B242" s="4" t="s">
        <v>766</v>
      </c>
      <c r="C242" s="4" t="s">
        <v>20</v>
      </c>
      <c r="D242" s="4" t="s">
        <v>21</v>
      </c>
      <c r="E242" s="4" t="s">
        <v>39</v>
      </c>
      <c r="F242" s="4" t="s">
        <v>23</v>
      </c>
      <c r="G242" s="4" t="s">
        <v>24</v>
      </c>
      <c r="H242" s="4" t="s">
        <v>25</v>
      </c>
      <c r="I242" s="4" t="s">
        <v>767</v>
      </c>
      <c r="J242" s="4" t="s">
        <v>768</v>
      </c>
      <c r="K242" s="5">
        <v>45006</v>
      </c>
      <c r="L242" s="5">
        <v>45152</v>
      </c>
      <c r="M242" s="5">
        <v>45179</v>
      </c>
      <c r="N242" s="6">
        <f t="shared" si="12"/>
        <v>27</v>
      </c>
      <c r="O242" s="4" t="s">
        <v>28</v>
      </c>
      <c r="P242" s="4">
        <v>3725.06</v>
      </c>
      <c r="Q242" s="4"/>
      <c r="R242" s="4" t="str">
        <f t="shared" si="13"/>
        <v>2023</v>
      </c>
      <c r="S242" s="4" t="str">
        <f t="shared" si="14"/>
        <v>August</v>
      </c>
      <c r="T242" s="4">
        <f t="shared" si="15"/>
        <v>3725.06</v>
      </c>
      <c r="U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row>
    <row r="243" spans="1:53" ht="19.95" customHeight="1">
      <c r="A243" s="4">
        <v>242</v>
      </c>
      <c r="B243" s="4" t="s">
        <v>769</v>
      </c>
      <c r="C243" s="4" t="s">
        <v>20</v>
      </c>
      <c r="D243" s="4" t="s">
        <v>21</v>
      </c>
      <c r="E243" s="4" t="s">
        <v>39</v>
      </c>
      <c r="F243" s="4" t="s">
        <v>23</v>
      </c>
      <c r="G243" s="4" t="s">
        <v>24</v>
      </c>
      <c r="H243" s="4" t="s">
        <v>25</v>
      </c>
      <c r="I243" s="4" t="s">
        <v>770</v>
      </c>
      <c r="J243" s="4" t="s">
        <v>771</v>
      </c>
      <c r="K243" s="5">
        <v>45005</v>
      </c>
      <c r="L243" s="5">
        <v>45127</v>
      </c>
      <c r="M243" s="5">
        <v>45144</v>
      </c>
      <c r="N243" s="6">
        <f t="shared" si="12"/>
        <v>17</v>
      </c>
      <c r="O243" s="4" t="s">
        <v>28</v>
      </c>
      <c r="P243" s="4">
        <v>24924.29</v>
      </c>
      <c r="Q243" s="4"/>
      <c r="R243" s="4" t="str">
        <f t="shared" si="13"/>
        <v>2023</v>
      </c>
      <c r="S243" s="4" t="str">
        <f t="shared" si="14"/>
        <v>July</v>
      </c>
      <c r="T243" s="4">
        <f t="shared" si="15"/>
        <v>24924.29</v>
      </c>
      <c r="U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row>
    <row r="244" spans="1:53" ht="19.95" customHeight="1">
      <c r="A244" s="4">
        <v>243</v>
      </c>
      <c r="B244" s="4" t="s">
        <v>772</v>
      </c>
      <c r="C244" s="4" t="s">
        <v>20</v>
      </c>
      <c r="D244" s="4" t="s">
        <v>21</v>
      </c>
      <c r="E244" s="4" t="s">
        <v>455</v>
      </c>
      <c r="F244" s="4" t="s">
        <v>23</v>
      </c>
      <c r="G244" s="4" t="s">
        <v>24</v>
      </c>
      <c r="H244" s="4" t="s">
        <v>25</v>
      </c>
      <c r="I244" s="4" t="s">
        <v>773</v>
      </c>
      <c r="J244" s="4" t="s">
        <v>774</v>
      </c>
      <c r="K244" s="5">
        <v>45005</v>
      </c>
      <c r="L244" s="5">
        <v>45044</v>
      </c>
      <c r="M244" s="5">
        <v>45059</v>
      </c>
      <c r="N244" s="6">
        <f t="shared" si="12"/>
        <v>15</v>
      </c>
      <c r="O244" s="4" t="s">
        <v>28</v>
      </c>
      <c r="P244" s="4">
        <v>7884.57</v>
      </c>
      <c r="Q244" s="4"/>
      <c r="R244" s="4" t="str">
        <f t="shared" si="13"/>
        <v>2023</v>
      </c>
      <c r="S244" s="4" t="str">
        <f t="shared" si="14"/>
        <v>April</v>
      </c>
      <c r="T244" s="4">
        <f t="shared" si="15"/>
        <v>7884.57</v>
      </c>
      <c r="U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row>
    <row r="245" spans="1:53" ht="19.95" customHeight="1">
      <c r="A245" s="4">
        <v>244</v>
      </c>
      <c r="B245" s="4" t="s">
        <v>775</v>
      </c>
      <c r="C245" s="4" t="s">
        <v>20</v>
      </c>
      <c r="D245" s="4" t="s">
        <v>21</v>
      </c>
      <c r="E245" s="4" t="s">
        <v>455</v>
      </c>
      <c r="F245" s="4" t="s">
        <v>776</v>
      </c>
      <c r="G245" s="4" t="s">
        <v>24</v>
      </c>
      <c r="H245" s="4" t="s">
        <v>254</v>
      </c>
      <c r="I245" s="4" t="s">
        <v>777</v>
      </c>
      <c r="J245" s="4" t="s">
        <v>778</v>
      </c>
      <c r="K245" s="5">
        <v>45002</v>
      </c>
      <c r="L245" s="5">
        <v>45036</v>
      </c>
      <c r="M245" s="5">
        <v>45043</v>
      </c>
      <c r="N245" s="6">
        <f t="shared" si="12"/>
        <v>7</v>
      </c>
      <c r="O245" s="4" t="s">
        <v>28</v>
      </c>
      <c r="P245" s="4">
        <v>4437.3</v>
      </c>
      <c r="Q245" s="4"/>
      <c r="R245" s="4" t="str">
        <f t="shared" si="13"/>
        <v>2023</v>
      </c>
      <c r="S245" s="4" t="str">
        <f t="shared" si="14"/>
        <v>April</v>
      </c>
      <c r="T245" s="4">
        <f t="shared" si="15"/>
        <v>4437.3</v>
      </c>
      <c r="U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row>
    <row r="246" spans="1:53" ht="19.95" customHeight="1">
      <c r="A246" s="4">
        <v>245</v>
      </c>
      <c r="B246" s="4" t="s">
        <v>779</v>
      </c>
      <c r="C246" s="4" t="s">
        <v>65</v>
      </c>
      <c r="D246" s="4" t="s">
        <v>56</v>
      </c>
      <c r="E246" s="4" t="s">
        <v>672</v>
      </c>
      <c r="F246" s="4" t="s">
        <v>116</v>
      </c>
      <c r="G246" s="4" t="s">
        <v>24</v>
      </c>
      <c r="H246" s="4" t="s">
        <v>117</v>
      </c>
      <c r="I246" s="4" t="s">
        <v>780</v>
      </c>
      <c r="J246" s="4" t="s">
        <v>781</v>
      </c>
      <c r="K246" s="5">
        <v>44998</v>
      </c>
      <c r="L246" s="5">
        <v>45022</v>
      </c>
      <c r="M246" s="5">
        <v>45033</v>
      </c>
      <c r="N246" s="6">
        <f t="shared" si="12"/>
        <v>11</v>
      </c>
      <c r="O246" s="4" t="s">
        <v>28</v>
      </c>
      <c r="P246" s="4">
        <v>7020.71</v>
      </c>
      <c r="Q246" s="4"/>
      <c r="R246" s="4" t="str">
        <f t="shared" si="13"/>
        <v>2023</v>
      </c>
      <c r="S246" s="4" t="str">
        <f t="shared" si="14"/>
        <v>April</v>
      </c>
      <c r="T246" s="4">
        <f t="shared" si="15"/>
        <v>7020.71</v>
      </c>
      <c r="U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row>
    <row r="247" spans="1:53" ht="19.95" customHeight="1">
      <c r="A247" s="4">
        <v>246</v>
      </c>
      <c r="B247" s="4" t="s">
        <v>782</v>
      </c>
      <c r="C247" s="4" t="s">
        <v>20</v>
      </c>
      <c r="D247" s="4" t="s">
        <v>21</v>
      </c>
      <c r="E247" s="4" t="s">
        <v>455</v>
      </c>
      <c r="F247" s="4" t="s">
        <v>23</v>
      </c>
      <c r="G247" s="4" t="s">
        <v>24</v>
      </c>
      <c r="H247" s="4" t="s">
        <v>25</v>
      </c>
      <c r="I247" s="4" t="s">
        <v>751</v>
      </c>
      <c r="J247" s="4" t="s">
        <v>752</v>
      </c>
      <c r="K247" s="5">
        <v>44998</v>
      </c>
      <c r="L247" s="5">
        <v>45325</v>
      </c>
      <c r="M247" s="5">
        <v>45325</v>
      </c>
      <c r="N247" s="6">
        <f t="shared" si="12"/>
        <v>0</v>
      </c>
      <c r="O247" s="4" t="s">
        <v>28</v>
      </c>
      <c r="P247" s="4">
        <v>2765</v>
      </c>
      <c r="Q247" s="4"/>
      <c r="R247" s="4" t="str">
        <f t="shared" si="13"/>
        <v>2024</v>
      </c>
      <c r="S247" s="4" t="str">
        <f t="shared" si="14"/>
        <v>February</v>
      </c>
      <c r="T247" s="4">
        <f t="shared" si="15"/>
        <v>2765</v>
      </c>
      <c r="U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row>
    <row r="248" spans="1:53" ht="19.95" customHeight="1">
      <c r="A248" s="4">
        <v>247</v>
      </c>
      <c r="B248" s="4" t="s">
        <v>783</v>
      </c>
      <c r="C248" s="4" t="s">
        <v>20</v>
      </c>
      <c r="D248" s="4" t="s">
        <v>21</v>
      </c>
      <c r="E248" s="4" t="s">
        <v>31</v>
      </c>
      <c r="F248" s="4" t="s">
        <v>23</v>
      </c>
      <c r="G248" s="4" t="s">
        <v>24</v>
      </c>
      <c r="H248" s="4" t="s">
        <v>25</v>
      </c>
      <c r="I248" s="4" t="s">
        <v>784</v>
      </c>
      <c r="J248" s="4" t="s">
        <v>785</v>
      </c>
      <c r="K248" s="5">
        <v>45001</v>
      </c>
      <c r="L248" s="5">
        <v>45281</v>
      </c>
      <c r="M248" s="5">
        <v>45296</v>
      </c>
      <c r="N248" s="6">
        <f t="shared" si="12"/>
        <v>15</v>
      </c>
      <c r="O248" s="4" t="s">
        <v>28</v>
      </c>
      <c r="P248" s="4">
        <v>15422.98</v>
      </c>
      <c r="Q248" s="4"/>
      <c r="R248" s="4" t="str">
        <f t="shared" si="13"/>
        <v>2023</v>
      </c>
      <c r="S248" s="4" t="str">
        <f t="shared" si="14"/>
        <v>December</v>
      </c>
      <c r="T248" s="4">
        <f t="shared" si="15"/>
        <v>15422.98</v>
      </c>
      <c r="U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row>
    <row r="249" spans="1:53" ht="19.95" customHeight="1">
      <c r="A249" s="4">
        <v>248</v>
      </c>
      <c r="B249" s="4" t="s">
        <v>786</v>
      </c>
      <c r="C249" s="4" t="s">
        <v>20</v>
      </c>
      <c r="D249" s="4" t="s">
        <v>21</v>
      </c>
      <c r="E249" s="4" t="s">
        <v>39</v>
      </c>
      <c r="F249" s="4" t="s">
        <v>23</v>
      </c>
      <c r="G249" s="4" t="s">
        <v>24</v>
      </c>
      <c r="H249" s="4" t="s">
        <v>25</v>
      </c>
      <c r="I249" s="4" t="s">
        <v>787</v>
      </c>
      <c r="J249" s="4" t="s">
        <v>788</v>
      </c>
      <c r="K249" s="5">
        <v>44997</v>
      </c>
      <c r="L249" s="5">
        <v>45304</v>
      </c>
      <c r="M249" s="5">
        <v>45317</v>
      </c>
      <c r="N249" s="6">
        <f t="shared" si="12"/>
        <v>13</v>
      </c>
      <c r="O249" s="4" t="s">
        <v>28</v>
      </c>
      <c r="P249" s="4">
        <v>8345.25</v>
      </c>
      <c r="Q249" s="4"/>
      <c r="R249" s="4" t="str">
        <f t="shared" si="13"/>
        <v>2024</v>
      </c>
      <c r="S249" s="4" t="str">
        <f t="shared" si="14"/>
        <v>January</v>
      </c>
      <c r="T249" s="4">
        <f t="shared" si="15"/>
        <v>8345.25</v>
      </c>
      <c r="U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row>
    <row r="250" spans="1:53" ht="19.95" customHeight="1">
      <c r="A250" s="4">
        <v>249</v>
      </c>
      <c r="B250" s="4" t="s">
        <v>789</v>
      </c>
      <c r="C250" s="4" t="s">
        <v>20</v>
      </c>
      <c r="D250" s="4" t="s">
        <v>21</v>
      </c>
      <c r="E250" s="4" t="s">
        <v>31</v>
      </c>
      <c r="F250" s="4" t="s">
        <v>116</v>
      </c>
      <c r="G250" s="4" t="s">
        <v>24</v>
      </c>
      <c r="H250" s="4" t="s">
        <v>117</v>
      </c>
      <c r="I250" s="4" t="s">
        <v>790</v>
      </c>
      <c r="J250" s="4" t="s">
        <v>791</v>
      </c>
      <c r="K250" s="5">
        <v>44994</v>
      </c>
      <c r="L250" s="5">
        <v>45013</v>
      </c>
      <c r="M250" s="5">
        <v>45039</v>
      </c>
      <c r="N250" s="6">
        <f t="shared" si="12"/>
        <v>26</v>
      </c>
      <c r="O250" s="4" t="s">
        <v>28</v>
      </c>
      <c r="P250" s="4">
        <v>7083.56</v>
      </c>
      <c r="Q250" s="4"/>
      <c r="R250" s="4" t="str">
        <f t="shared" si="13"/>
        <v>2023</v>
      </c>
      <c r="S250" s="4" t="str">
        <f t="shared" si="14"/>
        <v>March</v>
      </c>
      <c r="T250" s="4">
        <f t="shared" si="15"/>
        <v>7083.56</v>
      </c>
      <c r="U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row>
    <row r="251" spans="1:53" ht="19.95" customHeight="1">
      <c r="A251" s="4">
        <v>250</v>
      </c>
      <c r="B251" s="4" t="s">
        <v>792</v>
      </c>
      <c r="C251" s="4" t="s">
        <v>65</v>
      </c>
      <c r="D251" s="4" t="s">
        <v>56</v>
      </c>
      <c r="E251" s="4" t="s">
        <v>672</v>
      </c>
      <c r="F251" s="4" t="s">
        <v>24</v>
      </c>
      <c r="G251" s="4" t="s">
        <v>24</v>
      </c>
      <c r="H251" s="4" t="s">
        <v>200</v>
      </c>
      <c r="I251" s="4" t="s">
        <v>793</v>
      </c>
      <c r="J251" s="4" t="s">
        <v>794</v>
      </c>
      <c r="K251" s="5">
        <v>44994</v>
      </c>
      <c r="L251" s="5">
        <v>45037</v>
      </c>
      <c r="M251" s="5">
        <v>45039</v>
      </c>
      <c r="N251" s="6">
        <f t="shared" si="12"/>
        <v>2</v>
      </c>
      <c r="O251" s="4" t="s">
        <v>28</v>
      </c>
      <c r="P251" s="4">
        <v>8820</v>
      </c>
      <c r="Q251" s="4"/>
      <c r="R251" s="4" t="str">
        <f t="shared" si="13"/>
        <v>2023</v>
      </c>
      <c r="S251" s="4" t="str">
        <f t="shared" si="14"/>
        <v>April</v>
      </c>
      <c r="T251" s="4">
        <f t="shared" si="15"/>
        <v>8820</v>
      </c>
      <c r="U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row>
    <row r="252" spans="1:53" ht="19.95" customHeight="1">
      <c r="A252" s="4">
        <v>251</v>
      </c>
      <c r="B252" s="4" t="s">
        <v>795</v>
      </c>
      <c r="C252" s="4" t="s">
        <v>65</v>
      </c>
      <c r="D252" s="4" t="s">
        <v>56</v>
      </c>
      <c r="E252" s="4" t="s">
        <v>672</v>
      </c>
      <c r="F252" s="4" t="s">
        <v>24</v>
      </c>
      <c r="G252" s="4" t="s">
        <v>24</v>
      </c>
      <c r="H252" s="4" t="s">
        <v>200</v>
      </c>
      <c r="I252" s="4" t="s">
        <v>796</v>
      </c>
      <c r="J252" s="4" t="s">
        <v>794</v>
      </c>
      <c r="K252" s="5">
        <v>44994</v>
      </c>
      <c r="L252" s="5">
        <v>45033</v>
      </c>
      <c r="M252" s="5">
        <v>45037</v>
      </c>
      <c r="N252" s="6">
        <f t="shared" si="12"/>
        <v>4</v>
      </c>
      <c r="O252" s="4" t="s">
        <v>28</v>
      </c>
      <c r="P252" s="4">
        <v>10052</v>
      </c>
      <c r="Q252" s="4"/>
      <c r="R252" s="4" t="str">
        <f t="shared" si="13"/>
        <v>2023</v>
      </c>
      <c r="S252" s="4" t="str">
        <f t="shared" si="14"/>
        <v>April</v>
      </c>
      <c r="T252" s="4">
        <f t="shared" si="15"/>
        <v>10052</v>
      </c>
      <c r="U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row>
    <row r="253" spans="1:53" ht="19.95" customHeight="1">
      <c r="A253" s="4">
        <v>252</v>
      </c>
      <c r="B253" s="4" t="s">
        <v>797</v>
      </c>
      <c r="C253" s="4" t="s">
        <v>20</v>
      </c>
      <c r="D253" s="4" t="s">
        <v>30</v>
      </c>
      <c r="E253" s="4" t="s">
        <v>39</v>
      </c>
      <c r="F253" s="4" t="s">
        <v>24</v>
      </c>
      <c r="G253" s="4" t="s">
        <v>24</v>
      </c>
      <c r="H253" s="4" t="s">
        <v>200</v>
      </c>
      <c r="I253" s="4" t="s">
        <v>201</v>
      </c>
      <c r="J253" s="4" t="s">
        <v>202</v>
      </c>
      <c r="K253" s="5">
        <v>44993</v>
      </c>
      <c r="L253" s="5">
        <v>44997</v>
      </c>
      <c r="M253" s="5">
        <v>44999</v>
      </c>
      <c r="N253" s="6">
        <f t="shared" si="12"/>
        <v>2</v>
      </c>
      <c r="O253" s="4" t="s">
        <v>28</v>
      </c>
      <c r="P253" s="4">
        <v>265</v>
      </c>
      <c r="Q253" s="4"/>
      <c r="R253" s="4" t="str">
        <f t="shared" si="13"/>
        <v>2023</v>
      </c>
      <c r="S253" s="4" t="str">
        <f t="shared" si="14"/>
        <v>March</v>
      </c>
      <c r="T253" s="4">
        <f t="shared" si="15"/>
        <v>265</v>
      </c>
      <c r="U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row>
    <row r="254" spans="1:53" ht="19.95" customHeight="1">
      <c r="A254" s="4">
        <v>253</v>
      </c>
      <c r="B254" s="4" t="s">
        <v>798</v>
      </c>
      <c r="C254" s="4" t="s">
        <v>65</v>
      </c>
      <c r="D254" s="4" t="s">
        <v>56</v>
      </c>
      <c r="E254" s="4" t="s">
        <v>672</v>
      </c>
      <c r="F254" s="4" t="s">
        <v>24</v>
      </c>
      <c r="G254" s="4" t="s">
        <v>24</v>
      </c>
      <c r="H254" s="4" t="s">
        <v>200</v>
      </c>
      <c r="I254" s="4" t="s">
        <v>799</v>
      </c>
      <c r="J254" s="4" t="s">
        <v>794</v>
      </c>
      <c r="K254" s="5">
        <v>44993</v>
      </c>
      <c r="L254" s="5">
        <v>45043</v>
      </c>
      <c r="M254" s="5">
        <v>45045</v>
      </c>
      <c r="N254" s="6">
        <f t="shared" si="12"/>
        <v>2</v>
      </c>
      <c r="O254" s="4" t="s">
        <v>28</v>
      </c>
      <c r="P254" s="4">
        <v>9936</v>
      </c>
      <c r="Q254" s="4"/>
      <c r="R254" s="4" t="str">
        <f t="shared" si="13"/>
        <v>2023</v>
      </c>
      <c r="S254" s="4" t="str">
        <f t="shared" si="14"/>
        <v>April</v>
      </c>
      <c r="T254" s="4">
        <f t="shared" si="15"/>
        <v>9936</v>
      </c>
      <c r="U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row>
    <row r="255" spans="1:53" ht="19.95" customHeight="1">
      <c r="A255" s="4">
        <v>254</v>
      </c>
      <c r="B255" s="4" t="s">
        <v>800</v>
      </c>
      <c r="C255" s="4" t="s">
        <v>65</v>
      </c>
      <c r="D255" s="4" t="s">
        <v>21</v>
      </c>
      <c r="E255" s="4" t="s">
        <v>672</v>
      </c>
      <c r="F255" s="4" t="s">
        <v>43</v>
      </c>
      <c r="G255" s="4" t="s">
        <v>24</v>
      </c>
      <c r="H255" s="4" t="s">
        <v>44</v>
      </c>
      <c r="I255" s="4" t="s">
        <v>801</v>
      </c>
      <c r="J255" s="4" t="s">
        <v>802</v>
      </c>
      <c r="K255" s="5">
        <v>44988</v>
      </c>
      <c r="L255" s="5">
        <v>44992</v>
      </c>
      <c r="M255" s="5">
        <v>44993</v>
      </c>
      <c r="N255" s="6">
        <f t="shared" si="12"/>
        <v>1</v>
      </c>
      <c r="O255" s="4" t="s">
        <v>28</v>
      </c>
      <c r="P255" s="4">
        <v>64</v>
      </c>
      <c r="Q255" s="4"/>
      <c r="R255" s="4" t="str">
        <f t="shared" si="13"/>
        <v>2023</v>
      </c>
      <c r="S255" s="4" t="str">
        <f t="shared" si="14"/>
        <v>March</v>
      </c>
      <c r="T255" s="4">
        <f t="shared" si="15"/>
        <v>64</v>
      </c>
      <c r="U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row>
    <row r="256" spans="1:53" ht="19.95" customHeight="1">
      <c r="A256" s="4">
        <v>255</v>
      </c>
      <c r="B256" s="4" t="s">
        <v>803</v>
      </c>
      <c r="C256" s="4" t="s">
        <v>20</v>
      </c>
      <c r="D256" s="4" t="s">
        <v>21</v>
      </c>
      <c r="E256" s="4" t="s">
        <v>672</v>
      </c>
      <c r="F256" s="4" t="s">
        <v>23</v>
      </c>
      <c r="G256" s="4" t="s">
        <v>24</v>
      </c>
      <c r="H256" s="4" t="s">
        <v>25</v>
      </c>
      <c r="I256" s="4" t="s">
        <v>804</v>
      </c>
      <c r="J256" s="4" t="s">
        <v>805</v>
      </c>
      <c r="K256" s="5">
        <v>44987</v>
      </c>
      <c r="L256" s="5">
        <v>44998</v>
      </c>
      <c r="M256" s="5">
        <v>45016</v>
      </c>
      <c r="N256" s="6">
        <f t="shared" si="12"/>
        <v>18</v>
      </c>
      <c r="O256" s="4" t="s">
        <v>28</v>
      </c>
      <c r="P256" s="4">
        <v>2235.81</v>
      </c>
      <c r="Q256" s="4"/>
      <c r="R256" s="4" t="str">
        <f t="shared" si="13"/>
        <v>2023</v>
      </c>
      <c r="S256" s="4" t="str">
        <f t="shared" si="14"/>
        <v>March</v>
      </c>
      <c r="T256" s="4">
        <f t="shared" si="15"/>
        <v>2235.81</v>
      </c>
      <c r="U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row>
    <row r="257" spans="1:53" ht="19.95" customHeight="1">
      <c r="A257" s="4">
        <v>256</v>
      </c>
      <c r="B257" s="4" t="s">
        <v>806</v>
      </c>
      <c r="C257" s="4" t="s">
        <v>65</v>
      </c>
      <c r="D257" s="4" t="s">
        <v>21</v>
      </c>
      <c r="E257" s="4" t="s">
        <v>345</v>
      </c>
      <c r="F257" s="4" t="s">
        <v>589</v>
      </c>
      <c r="G257" s="4" t="s">
        <v>24</v>
      </c>
      <c r="H257" s="4" t="s">
        <v>346</v>
      </c>
      <c r="I257" s="4" t="s">
        <v>807</v>
      </c>
      <c r="J257" s="4" t="s">
        <v>808</v>
      </c>
      <c r="K257" s="5">
        <v>44985</v>
      </c>
      <c r="L257" s="5">
        <v>45195</v>
      </c>
      <c r="M257" s="5">
        <v>45204</v>
      </c>
      <c r="N257" s="6">
        <f t="shared" si="12"/>
        <v>9</v>
      </c>
      <c r="O257" s="4" t="s">
        <v>28</v>
      </c>
      <c r="P257" s="4">
        <v>5065.38</v>
      </c>
      <c r="Q257" s="4"/>
      <c r="R257" s="4" t="str">
        <f t="shared" si="13"/>
        <v>2023</v>
      </c>
      <c r="S257" s="4" t="str">
        <f t="shared" si="14"/>
        <v>September</v>
      </c>
      <c r="T257" s="4">
        <f t="shared" si="15"/>
        <v>5065.38</v>
      </c>
      <c r="U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row>
    <row r="258" spans="1:53" ht="19.95" customHeight="1">
      <c r="A258" s="4">
        <v>257</v>
      </c>
      <c r="B258" s="4" t="s">
        <v>809</v>
      </c>
      <c r="C258" s="4" t="s">
        <v>20</v>
      </c>
      <c r="D258" s="4" t="s">
        <v>21</v>
      </c>
      <c r="E258" s="4" t="s">
        <v>39</v>
      </c>
      <c r="F258" s="4" t="s">
        <v>23</v>
      </c>
      <c r="G258" s="4" t="s">
        <v>24</v>
      </c>
      <c r="H258" s="4" t="s">
        <v>25</v>
      </c>
      <c r="I258" s="4" t="s">
        <v>810</v>
      </c>
      <c r="J258" s="4" t="s">
        <v>811</v>
      </c>
      <c r="K258" s="5">
        <v>44984</v>
      </c>
      <c r="L258" s="5">
        <v>45012</v>
      </c>
      <c r="M258" s="5">
        <v>45016</v>
      </c>
      <c r="N258" s="6">
        <f t="shared" ref="N258:N275" si="16">M258-L258</f>
        <v>4</v>
      </c>
      <c r="O258" s="4" t="s">
        <v>28</v>
      </c>
      <c r="P258" s="4">
        <v>1235.8599999999999</v>
      </c>
      <c r="Q258" s="4"/>
      <c r="R258" s="4" t="str">
        <f t="shared" ref="R258:R321" si="17">TEXT(L258,"YYY")</f>
        <v>2023</v>
      </c>
      <c r="S258" s="4" t="str">
        <f t="shared" ref="S258:S321" si="18">TEXT(L258,"MMMM")</f>
        <v>March</v>
      </c>
      <c r="T258" s="4">
        <f t="shared" ref="T258:T321" si="19">P258</f>
        <v>1235.8599999999999</v>
      </c>
      <c r="U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row>
    <row r="259" spans="1:53" ht="19.95" customHeight="1">
      <c r="A259" s="4">
        <v>258</v>
      </c>
      <c r="B259" s="4" t="s">
        <v>812</v>
      </c>
      <c r="C259" s="4" t="s">
        <v>20</v>
      </c>
      <c r="D259" s="4" t="s">
        <v>21</v>
      </c>
      <c r="E259" s="4" t="s">
        <v>455</v>
      </c>
      <c r="F259" s="4" t="s">
        <v>23</v>
      </c>
      <c r="G259" s="4" t="s">
        <v>24</v>
      </c>
      <c r="H259" s="4" t="s">
        <v>25</v>
      </c>
      <c r="I259" s="4" t="s">
        <v>813</v>
      </c>
      <c r="J259" s="4" t="s">
        <v>814</v>
      </c>
      <c r="K259" s="5">
        <v>44980</v>
      </c>
      <c r="L259" s="5">
        <v>45069</v>
      </c>
      <c r="M259" s="5">
        <v>45082</v>
      </c>
      <c r="N259" s="6">
        <f t="shared" si="16"/>
        <v>13</v>
      </c>
      <c r="O259" s="4" t="s">
        <v>28</v>
      </c>
      <c r="P259" s="4">
        <v>4978.2700000000004</v>
      </c>
      <c r="Q259" s="4"/>
      <c r="R259" s="4" t="str">
        <f t="shared" si="17"/>
        <v>2023</v>
      </c>
      <c r="S259" s="4" t="str">
        <f t="shared" si="18"/>
        <v>May</v>
      </c>
      <c r="T259" s="4">
        <f t="shared" si="19"/>
        <v>4978.2700000000004</v>
      </c>
      <c r="U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row>
    <row r="260" spans="1:53" ht="19.95" customHeight="1">
      <c r="A260" s="4">
        <v>259</v>
      </c>
      <c r="B260" s="4" t="s">
        <v>815</v>
      </c>
      <c r="C260" s="4" t="s">
        <v>20</v>
      </c>
      <c r="D260" s="4" t="s">
        <v>21</v>
      </c>
      <c r="E260" s="4" t="s">
        <v>455</v>
      </c>
      <c r="F260" s="4" t="s">
        <v>48</v>
      </c>
      <c r="G260" s="4" t="s">
        <v>24</v>
      </c>
      <c r="H260" s="4" t="s">
        <v>44</v>
      </c>
      <c r="I260" s="4" t="s">
        <v>816</v>
      </c>
      <c r="J260" s="4" t="s">
        <v>817</v>
      </c>
      <c r="K260" s="5">
        <v>44980</v>
      </c>
      <c r="L260" s="5">
        <v>45030</v>
      </c>
      <c r="M260" s="5">
        <v>45039</v>
      </c>
      <c r="N260" s="6">
        <f t="shared" si="16"/>
        <v>9</v>
      </c>
      <c r="O260" s="4" t="s">
        <v>28</v>
      </c>
      <c r="P260" s="4">
        <v>4785.62</v>
      </c>
      <c r="Q260" s="4"/>
      <c r="R260" s="4" t="str">
        <f t="shared" si="17"/>
        <v>2023</v>
      </c>
      <c r="S260" s="4" t="str">
        <f t="shared" si="18"/>
        <v>April</v>
      </c>
      <c r="T260" s="4">
        <f t="shared" si="19"/>
        <v>4785.62</v>
      </c>
      <c r="U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row>
    <row r="261" spans="1:53" ht="19.95" customHeight="1">
      <c r="A261" s="4">
        <v>260</v>
      </c>
      <c r="B261" s="4" t="s">
        <v>818</v>
      </c>
      <c r="C261" s="4" t="s">
        <v>20</v>
      </c>
      <c r="D261" s="4" t="s">
        <v>56</v>
      </c>
      <c r="E261" s="4" t="s">
        <v>39</v>
      </c>
      <c r="F261" s="4" t="s">
        <v>24</v>
      </c>
      <c r="G261" s="4" t="s">
        <v>24</v>
      </c>
      <c r="H261" s="4" t="s">
        <v>25</v>
      </c>
      <c r="I261" s="4" t="s">
        <v>819</v>
      </c>
      <c r="J261" s="4" t="s">
        <v>820</v>
      </c>
      <c r="K261" s="5">
        <v>44979</v>
      </c>
      <c r="L261" s="5">
        <v>45002</v>
      </c>
      <c r="M261" s="5">
        <v>45013</v>
      </c>
      <c r="N261" s="6">
        <f t="shared" si="16"/>
        <v>11</v>
      </c>
      <c r="O261" s="4" t="s">
        <v>28</v>
      </c>
      <c r="P261" s="4">
        <v>5339.66</v>
      </c>
      <c r="Q261" s="4"/>
      <c r="R261" s="4" t="str">
        <f t="shared" si="17"/>
        <v>2023</v>
      </c>
      <c r="S261" s="4" t="str">
        <f t="shared" si="18"/>
        <v>March</v>
      </c>
      <c r="T261" s="4">
        <f t="shared" si="19"/>
        <v>5339.66</v>
      </c>
      <c r="U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row>
    <row r="262" spans="1:53" ht="19.95" customHeight="1">
      <c r="A262" s="4">
        <v>261</v>
      </c>
      <c r="B262" s="4" t="s">
        <v>821</v>
      </c>
      <c r="C262" s="4" t="s">
        <v>20</v>
      </c>
      <c r="D262" s="4" t="s">
        <v>21</v>
      </c>
      <c r="E262" s="4" t="s">
        <v>39</v>
      </c>
      <c r="F262" s="4" t="s">
        <v>23</v>
      </c>
      <c r="G262" s="4" t="s">
        <v>24</v>
      </c>
      <c r="H262" s="4" t="s">
        <v>25</v>
      </c>
      <c r="I262" s="4" t="s">
        <v>822</v>
      </c>
      <c r="J262" s="4" t="s">
        <v>823</v>
      </c>
      <c r="K262" s="5">
        <v>44978</v>
      </c>
      <c r="L262" s="5">
        <v>44996</v>
      </c>
      <c r="M262" s="5">
        <v>45006</v>
      </c>
      <c r="N262" s="6">
        <f t="shared" si="16"/>
        <v>10</v>
      </c>
      <c r="O262" s="4" t="s">
        <v>28</v>
      </c>
      <c r="P262" s="4">
        <v>9076.4699999999993</v>
      </c>
      <c r="Q262" s="4"/>
      <c r="R262" s="4" t="str">
        <f t="shared" si="17"/>
        <v>2023</v>
      </c>
      <c r="S262" s="4" t="str">
        <f t="shared" si="18"/>
        <v>March</v>
      </c>
      <c r="T262" s="4">
        <f t="shared" si="19"/>
        <v>9076.4699999999993</v>
      </c>
      <c r="U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row>
    <row r="263" spans="1:53" ht="19.95" customHeight="1">
      <c r="A263" s="4">
        <v>262</v>
      </c>
      <c r="B263" s="4" t="s">
        <v>824</v>
      </c>
      <c r="C263" s="4" t="s">
        <v>65</v>
      </c>
      <c r="D263" s="4" t="s">
        <v>21</v>
      </c>
      <c r="E263" s="4" t="s">
        <v>672</v>
      </c>
      <c r="F263" s="4" t="s">
        <v>77</v>
      </c>
      <c r="G263" s="4" t="s">
        <v>24</v>
      </c>
      <c r="H263" s="4" t="s">
        <v>117</v>
      </c>
      <c r="I263" s="4" t="s">
        <v>825</v>
      </c>
      <c r="J263" s="4" t="s">
        <v>826</v>
      </c>
      <c r="K263" s="5">
        <v>44975</v>
      </c>
      <c r="L263" s="5">
        <v>45017</v>
      </c>
      <c r="M263" s="5">
        <v>45025</v>
      </c>
      <c r="N263" s="6">
        <f t="shared" si="16"/>
        <v>8</v>
      </c>
      <c r="O263" s="4" t="s">
        <v>28</v>
      </c>
      <c r="P263" s="4">
        <v>11801.36</v>
      </c>
      <c r="Q263" s="4"/>
      <c r="R263" s="4" t="str">
        <f t="shared" si="17"/>
        <v>2023</v>
      </c>
      <c r="S263" s="4" t="str">
        <f t="shared" si="18"/>
        <v>April</v>
      </c>
      <c r="T263" s="4">
        <f t="shared" si="19"/>
        <v>11801.36</v>
      </c>
      <c r="U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row>
    <row r="264" spans="1:53" ht="19.95" customHeight="1">
      <c r="A264" s="4">
        <v>263</v>
      </c>
      <c r="B264" s="4" t="s">
        <v>827</v>
      </c>
      <c r="C264" s="4" t="s">
        <v>65</v>
      </c>
      <c r="D264" s="4" t="s">
        <v>21</v>
      </c>
      <c r="E264" s="4" t="s">
        <v>680</v>
      </c>
      <c r="F264" s="4" t="s">
        <v>23</v>
      </c>
      <c r="G264" s="4" t="s">
        <v>24</v>
      </c>
      <c r="H264" s="4" t="s">
        <v>25</v>
      </c>
      <c r="I264" s="4" t="s">
        <v>828</v>
      </c>
      <c r="J264" s="4" t="s">
        <v>829</v>
      </c>
      <c r="K264" s="5">
        <v>44975</v>
      </c>
      <c r="L264" s="5">
        <v>45281</v>
      </c>
      <c r="M264" s="5">
        <v>45295</v>
      </c>
      <c r="N264" s="6">
        <f t="shared" si="16"/>
        <v>14</v>
      </c>
      <c r="O264" s="4" t="s">
        <v>28</v>
      </c>
      <c r="P264" s="4">
        <v>27427.48</v>
      </c>
      <c r="Q264" s="4"/>
      <c r="R264" s="4" t="str">
        <f t="shared" si="17"/>
        <v>2023</v>
      </c>
      <c r="S264" s="4" t="str">
        <f t="shared" si="18"/>
        <v>December</v>
      </c>
      <c r="T264" s="4">
        <f t="shared" si="19"/>
        <v>27427.48</v>
      </c>
      <c r="U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row>
    <row r="265" spans="1:53" ht="19.95" customHeight="1">
      <c r="A265" s="4">
        <v>264</v>
      </c>
      <c r="B265" s="4" t="s">
        <v>830</v>
      </c>
      <c r="C265" s="4" t="s">
        <v>20</v>
      </c>
      <c r="D265" s="4" t="s">
        <v>21</v>
      </c>
      <c r="E265" s="4" t="s">
        <v>39</v>
      </c>
      <c r="F265" s="4" t="s">
        <v>23</v>
      </c>
      <c r="G265" s="4" t="s">
        <v>24</v>
      </c>
      <c r="H265" s="4" t="s">
        <v>25</v>
      </c>
      <c r="I265" s="4" t="s">
        <v>831</v>
      </c>
      <c r="J265" s="4" t="s">
        <v>832</v>
      </c>
      <c r="K265" s="5">
        <v>44965</v>
      </c>
      <c r="L265" s="5">
        <v>45030</v>
      </c>
      <c r="M265" s="5">
        <v>45044</v>
      </c>
      <c r="N265" s="6">
        <f t="shared" si="16"/>
        <v>14</v>
      </c>
      <c r="O265" s="4" t="s">
        <v>28</v>
      </c>
      <c r="P265" s="4">
        <v>6607.81</v>
      </c>
      <c r="Q265" s="4"/>
      <c r="R265" s="4" t="str">
        <f t="shared" si="17"/>
        <v>2023</v>
      </c>
      <c r="S265" s="4" t="str">
        <f t="shared" si="18"/>
        <v>April</v>
      </c>
      <c r="T265" s="4">
        <f t="shared" si="19"/>
        <v>6607.81</v>
      </c>
      <c r="U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row>
    <row r="266" spans="1:53" ht="19.95" customHeight="1">
      <c r="A266" s="4">
        <v>265</v>
      </c>
      <c r="B266" s="4" t="s">
        <v>833</v>
      </c>
      <c r="C266" s="4" t="s">
        <v>20</v>
      </c>
      <c r="D266" s="4" t="s">
        <v>30</v>
      </c>
      <c r="E266" s="4" t="s">
        <v>31</v>
      </c>
      <c r="F266" s="4" t="s">
        <v>24</v>
      </c>
      <c r="G266" s="4" t="s">
        <v>24</v>
      </c>
      <c r="H266" s="4" t="s">
        <v>200</v>
      </c>
      <c r="I266" s="4" t="s">
        <v>302</v>
      </c>
      <c r="J266" s="4" t="s">
        <v>303</v>
      </c>
      <c r="K266" s="5">
        <v>44965</v>
      </c>
      <c r="L266" s="5">
        <v>44977</v>
      </c>
      <c r="M266" s="5">
        <v>44979</v>
      </c>
      <c r="N266" s="6">
        <f t="shared" si="16"/>
        <v>2</v>
      </c>
      <c r="O266" s="4" t="s">
        <v>28</v>
      </c>
      <c r="P266" s="4">
        <v>115</v>
      </c>
      <c r="Q266" s="4"/>
      <c r="R266" s="4" t="str">
        <f t="shared" si="17"/>
        <v>2023</v>
      </c>
      <c r="S266" s="4" t="str">
        <f t="shared" si="18"/>
        <v>February</v>
      </c>
      <c r="T266" s="4">
        <f t="shared" si="19"/>
        <v>115</v>
      </c>
      <c r="U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row>
    <row r="267" spans="1:53" ht="19.95" customHeight="1">
      <c r="A267" s="4">
        <v>266</v>
      </c>
      <c r="B267" s="4" t="s">
        <v>834</v>
      </c>
      <c r="C267" s="4" t="s">
        <v>20</v>
      </c>
      <c r="D267" s="4" t="s">
        <v>38</v>
      </c>
      <c r="E267" s="4" t="s">
        <v>39</v>
      </c>
      <c r="F267" s="4" t="s">
        <v>589</v>
      </c>
      <c r="G267" s="4" t="s">
        <v>24</v>
      </c>
      <c r="H267" s="4" t="s">
        <v>346</v>
      </c>
      <c r="I267" s="4" t="s">
        <v>835</v>
      </c>
      <c r="J267" s="4" t="s">
        <v>836</v>
      </c>
      <c r="K267" s="5">
        <v>44963</v>
      </c>
      <c r="L267" s="5">
        <v>45266</v>
      </c>
      <c r="M267" s="5">
        <v>45270</v>
      </c>
      <c r="N267" s="6">
        <f t="shared" si="16"/>
        <v>4</v>
      </c>
      <c r="O267" s="4" t="s">
        <v>28</v>
      </c>
      <c r="P267" s="4">
        <v>17295</v>
      </c>
      <c r="Q267" s="4"/>
      <c r="R267" s="4" t="str">
        <f t="shared" si="17"/>
        <v>2023</v>
      </c>
      <c r="S267" s="4" t="str">
        <f t="shared" si="18"/>
        <v>December</v>
      </c>
      <c r="T267" s="4">
        <f t="shared" si="19"/>
        <v>17295</v>
      </c>
      <c r="U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row>
    <row r="268" spans="1:53" ht="19.95" customHeight="1">
      <c r="A268" s="4">
        <v>267</v>
      </c>
      <c r="B268" s="4" t="s">
        <v>837</v>
      </c>
      <c r="C268" s="4" t="s">
        <v>20</v>
      </c>
      <c r="D268" s="4" t="s">
        <v>21</v>
      </c>
      <c r="E268" s="4" t="s">
        <v>39</v>
      </c>
      <c r="F268" s="4" t="s">
        <v>23</v>
      </c>
      <c r="G268" s="4" t="s">
        <v>24</v>
      </c>
      <c r="H268" s="4" t="s">
        <v>25</v>
      </c>
      <c r="I268" s="4" t="s">
        <v>838</v>
      </c>
      <c r="J268" s="4" t="s">
        <v>839</v>
      </c>
      <c r="K268" s="5">
        <v>44963</v>
      </c>
      <c r="L268" s="5">
        <v>45303</v>
      </c>
      <c r="M268" s="5">
        <v>45309</v>
      </c>
      <c r="N268" s="6">
        <f t="shared" si="16"/>
        <v>6</v>
      </c>
      <c r="O268" s="4" t="s">
        <v>28</v>
      </c>
      <c r="P268" s="4">
        <v>3292.35</v>
      </c>
      <c r="Q268" s="4"/>
      <c r="R268" s="4" t="str">
        <f t="shared" si="17"/>
        <v>2024</v>
      </c>
      <c r="S268" s="4" t="str">
        <f t="shared" si="18"/>
        <v>January</v>
      </c>
      <c r="T268" s="4">
        <f t="shared" si="19"/>
        <v>3292.35</v>
      </c>
      <c r="U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row>
    <row r="269" spans="1:53" ht="19.95" customHeight="1">
      <c r="A269" s="4">
        <v>268</v>
      </c>
      <c r="B269" s="4" t="s">
        <v>840</v>
      </c>
      <c r="C269" s="4" t="s">
        <v>20</v>
      </c>
      <c r="D269" s="4" t="s">
        <v>21</v>
      </c>
      <c r="E269" s="4" t="s">
        <v>39</v>
      </c>
      <c r="F269" s="4" t="s">
        <v>23</v>
      </c>
      <c r="G269" s="4" t="s">
        <v>24</v>
      </c>
      <c r="H269" s="4" t="s">
        <v>25</v>
      </c>
      <c r="I269" s="4" t="s">
        <v>841</v>
      </c>
      <c r="J269" s="4" t="s">
        <v>842</v>
      </c>
      <c r="K269" s="5">
        <v>44963</v>
      </c>
      <c r="L269" s="5">
        <v>45313</v>
      </c>
      <c r="M269" s="5">
        <v>45327</v>
      </c>
      <c r="N269" s="6">
        <f t="shared" si="16"/>
        <v>14</v>
      </c>
      <c r="O269" s="4" t="s">
        <v>28</v>
      </c>
      <c r="P269" s="4">
        <v>11103.09</v>
      </c>
      <c r="Q269" s="4"/>
      <c r="R269" s="4" t="str">
        <f t="shared" si="17"/>
        <v>2024</v>
      </c>
      <c r="S269" s="4" t="str">
        <f t="shared" si="18"/>
        <v>January</v>
      </c>
      <c r="T269" s="4">
        <f t="shared" si="19"/>
        <v>11103.09</v>
      </c>
      <c r="U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row>
    <row r="270" spans="1:53" ht="19.95" customHeight="1">
      <c r="A270" s="4">
        <v>269</v>
      </c>
      <c r="B270" s="4" t="s">
        <v>843</v>
      </c>
      <c r="C270" s="4" t="s">
        <v>20</v>
      </c>
      <c r="D270" s="4" t="s">
        <v>56</v>
      </c>
      <c r="E270" s="4" t="s">
        <v>672</v>
      </c>
      <c r="F270" s="4" t="s">
        <v>223</v>
      </c>
      <c r="G270" s="4" t="s">
        <v>24</v>
      </c>
      <c r="H270" s="4" t="s">
        <v>224</v>
      </c>
      <c r="I270" s="4" t="s">
        <v>844</v>
      </c>
      <c r="J270" s="4" t="s">
        <v>845</v>
      </c>
      <c r="K270" s="5">
        <v>44959</v>
      </c>
      <c r="L270" s="5">
        <v>45078</v>
      </c>
      <c r="M270" s="5">
        <v>45089</v>
      </c>
      <c r="N270" s="6">
        <f t="shared" si="16"/>
        <v>11</v>
      </c>
      <c r="O270" s="4" t="s">
        <v>28</v>
      </c>
      <c r="P270" s="4">
        <v>9396.5</v>
      </c>
      <c r="Q270" s="4"/>
      <c r="R270" s="4" t="str">
        <f t="shared" si="17"/>
        <v>2023</v>
      </c>
      <c r="S270" s="4" t="str">
        <f t="shared" si="18"/>
        <v>June</v>
      </c>
      <c r="T270" s="4">
        <f t="shared" si="19"/>
        <v>9396.5</v>
      </c>
      <c r="U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row>
    <row r="271" spans="1:53" ht="19.95" customHeight="1">
      <c r="A271" s="4">
        <v>270</v>
      </c>
      <c r="B271" s="4" t="s">
        <v>846</v>
      </c>
      <c r="C271" s="4" t="s">
        <v>65</v>
      </c>
      <c r="D271" s="4" t="s">
        <v>56</v>
      </c>
      <c r="E271" s="4" t="s">
        <v>345</v>
      </c>
      <c r="F271" s="4" t="s">
        <v>589</v>
      </c>
      <c r="G271" s="4" t="s">
        <v>24</v>
      </c>
      <c r="H271" s="4" t="s">
        <v>346</v>
      </c>
      <c r="I271" s="4" t="s">
        <v>847</v>
      </c>
      <c r="J271" s="4" t="s">
        <v>848</v>
      </c>
      <c r="K271" s="5">
        <v>44958</v>
      </c>
      <c r="L271" s="5">
        <v>45018</v>
      </c>
      <c r="M271" s="5">
        <v>45026</v>
      </c>
      <c r="N271" s="6">
        <f t="shared" si="16"/>
        <v>8</v>
      </c>
      <c r="O271" s="4" t="s">
        <v>28</v>
      </c>
      <c r="P271" s="4">
        <v>16257.51</v>
      </c>
      <c r="Q271" s="4"/>
      <c r="R271" s="4" t="str">
        <f t="shared" si="17"/>
        <v>2023</v>
      </c>
      <c r="S271" s="4" t="str">
        <f t="shared" si="18"/>
        <v>April</v>
      </c>
      <c r="T271" s="4">
        <f t="shared" si="19"/>
        <v>16257.51</v>
      </c>
      <c r="U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row>
    <row r="272" spans="1:53" ht="19.95" customHeight="1">
      <c r="A272" s="4">
        <v>271</v>
      </c>
      <c r="B272" s="4" t="s">
        <v>849</v>
      </c>
      <c r="C272" s="4" t="s">
        <v>20</v>
      </c>
      <c r="D272" s="4" t="s">
        <v>21</v>
      </c>
      <c r="E272" s="4" t="s">
        <v>455</v>
      </c>
      <c r="F272" s="4" t="s">
        <v>43</v>
      </c>
      <c r="G272" s="4" t="s">
        <v>24</v>
      </c>
      <c r="H272" s="4" t="s">
        <v>44</v>
      </c>
      <c r="I272" s="4" t="s">
        <v>850</v>
      </c>
      <c r="J272" s="4" t="s">
        <v>851</v>
      </c>
      <c r="K272" s="5">
        <v>44959</v>
      </c>
      <c r="L272" s="5">
        <v>45047</v>
      </c>
      <c r="M272" s="5">
        <v>45060</v>
      </c>
      <c r="N272" s="6">
        <f t="shared" si="16"/>
        <v>13</v>
      </c>
      <c r="O272" s="4" t="s">
        <v>28</v>
      </c>
      <c r="P272" s="4">
        <v>16487.84</v>
      </c>
      <c r="Q272" s="4"/>
      <c r="R272" s="4" t="str">
        <f t="shared" si="17"/>
        <v>2023</v>
      </c>
      <c r="S272" s="4" t="str">
        <f t="shared" si="18"/>
        <v>May</v>
      </c>
      <c r="T272" s="4">
        <f t="shared" si="19"/>
        <v>16487.84</v>
      </c>
      <c r="U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row>
    <row r="273" spans="1:53" ht="19.95" customHeight="1">
      <c r="A273" s="4">
        <v>272</v>
      </c>
      <c r="B273" s="4" t="s">
        <v>852</v>
      </c>
      <c r="C273" s="4" t="s">
        <v>20</v>
      </c>
      <c r="D273" s="4" t="s">
        <v>21</v>
      </c>
      <c r="E273" s="4" t="s">
        <v>455</v>
      </c>
      <c r="F273" s="4" t="s">
        <v>23</v>
      </c>
      <c r="G273" s="4" t="s">
        <v>24</v>
      </c>
      <c r="H273" s="4" t="s">
        <v>25</v>
      </c>
      <c r="I273" s="4" t="s">
        <v>853</v>
      </c>
      <c r="J273" s="4" t="s">
        <v>854</v>
      </c>
      <c r="K273" s="5">
        <v>44956</v>
      </c>
      <c r="L273" s="5">
        <v>45136</v>
      </c>
      <c r="M273" s="5">
        <v>45149</v>
      </c>
      <c r="N273" s="6">
        <f t="shared" si="16"/>
        <v>13</v>
      </c>
      <c r="O273" s="4" t="s">
        <v>28</v>
      </c>
      <c r="P273" s="4">
        <v>8592.77</v>
      </c>
      <c r="Q273" s="4"/>
      <c r="R273" s="4" t="str">
        <f t="shared" si="17"/>
        <v>2023</v>
      </c>
      <c r="S273" s="4" t="str">
        <f t="shared" si="18"/>
        <v>July</v>
      </c>
      <c r="T273" s="4">
        <f t="shared" si="19"/>
        <v>8592.77</v>
      </c>
      <c r="U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row>
    <row r="274" spans="1:53" ht="19.95" customHeight="1">
      <c r="A274" s="4">
        <v>273</v>
      </c>
      <c r="B274" s="4" t="s">
        <v>855</v>
      </c>
      <c r="C274" s="4" t="s">
        <v>20</v>
      </c>
      <c r="D274" s="4" t="s">
        <v>21</v>
      </c>
      <c r="E274" s="4" t="s">
        <v>455</v>
      </c>
      <c r="F274" s="4" t="s">
        <v>856</v>
      </c>
      <c r="G274" s="4" t="s">
        <v>24</v>
      </c>
      <c r="H274" s="4" t="s">
        <v>25</v>
      </c>
      <c r="I274" s="4" t="s">
        <v>857</v>
      </c>
      <c r="J274" s="4" t="s">
        <v>858</v>
      </c>
      <c r="K274" s="5">
        <v>44955</v>
      </c>
      <c r="L274" s="5">
        <v>45106</v>
      </c>
      <c r="M274" s="5">
        <v>45115</v>
      </c>
      <c r="N274" s="6">
        <f t="shared" si="16"/>
        <v>9</v>
      </c>
      <c r="O274" s="4" t="s">
        <v>28</v>
      </c>
      <c r="P274" s="4">
        <v>2571.96</v>
      </c>
      <c r="Q274" s="4"/>
      <c r="R274" s="4" t="str">
        <f t="shared" si="17"/>
        <v>2023</v>
      </c>
      <c r="S274" s="4" t="str">
        <f t="shared" si="18"/>
        <v>June</v>
      </c>
      <c r="T274" s="4">
        <f t="shared" si="19"/>
        <v>2571.96</v>
      </c>
      <c r="U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row>
    <row r="275" spans="1:53" ht="19.95" customHeight="1">
      <c r="A275" s="4">
        <v>274</v>
      </c>
      <c r="B275" s="4" t="s">
        <v>859</v>
      </c>
      <c r="C275" s="4" t="s">
        <v>20</v>
      </c>
      <c r="D275" s="4" t="s">
        <v>21</v>
      </c>
      <c r="E275" s="4" t="s">
        <v>455</v>
      </c>
      <c r="F275" s="4" t="s">
        <v>23</v>
      </c>
      <c r="G275" s="4" t="s">
        <v>223</v>
      </c>
      <c r="H275" s="4" t="s">
        <v>25</v>
      </c>
      <c r="I275" s="4" t="s">
        <v>860</v>
      </c>
      <c r="J275" s="4" t="s">
        <v>861</v>
      </c>
      <c r="K275" s="5">
        <v>44955</v>
      </c>
      <c r="L275" s="5">
        <v>45017</v>
      </c>
      <c r="M275" s="5">
        <v>45017</v>
      </c>
      <c r="N275" s="6">
        <f t="shared" si="16"/>
        <v>0</v>
      </c>
      <c r="O275" s="4" t="s">
        <v>28</v>
      </c>
      <c r="P275" s="4">
        <v>2849.78</v>
      </c>
      <c r="Q275" s="4"/>
      <c r="R275" s="4" t="str">
        <f t="shared" si="17"/>
        <v>2023</v>
      </c>
      <c r="S275" s="4" t="str">
        <f t="shared" si="18"/>
        <v>April</v>
      </c>
      <c r="T275" s="4">
        <f t="shared" si="19"/>
        <v>2849.78</v>
      </c>
      <c r="U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row>
    <row r="276" spans="1:53" ht="19.95" customHeight="1">
      <c r="A276" s="4">
        <v>275</v>
      </c>
      <c r="B276" s="4" t="s">
        <v>862</v>
      </c>
      <c r="C276" s="4" t="s">
        <v>20</v>
      </c>
      <c r="D276" s="4" t="s">
        <v>21</v>
      </c>
      <c r="E276" s="4" t="s">
        <v>455</v>
      </c>
      <c r="F276" s="4" t="s">
        <v>23</v>
      </c>
      <c r="G276" s="4" t="s">
        <v>24</v>
      </c>
      <c r="H276" s="4" t="s">
        <v>25</v>
      </c>
      <c r="I276" s="4" t="s">
        <v>863</v>
      </c>
      <c r="J276" s="4" t="s">
        <v>864</v>
      </c>
      <c r="K276" s="5">
        <v>44954</v>
      </c>
      <c r="L276" s="5"/>
      <c r="M276" s="5">
        <v>45107</v>
      </c>
      <c r="N276" s="6"/>
      <c r="O276" s="4" t="s">
        <v>28</v>
      </c>
      <c r="P276" s="4">
        <v>5780.45</v>
      </c>
      <c r="Q276" s="4"/>
      <c r="R276" s="4"/>
      <c r="S276" s="4" t="str">
        <f t="shared" si="18"/>
        <v>January</v>
      </c>
      <c r="T276" s="4">
        <f t="shared" si="19"/>
        <v>5780.45</v>
      </c>
      <c r="U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row>
    <row r="277" spans="1:53" ht="19.95" customHeight="1">
      <c r="A277" s="4">
        <v>276</v>
      </c>
      <c r="B277" s="4" t="s">
        <v>865</v>
      </c>
      <c r="C277" s="4" t="s">
        <v>20</v>
      </c>
      <c r="D277" s="4" t="s">
        <v>56</v>
      </c>
      <c r="E277" s="4" t="s">
        <v>39</v>
      </c>
      <c r="F277" s="4" t="s">
        <v>23</v>
      </c>
      <c r="G277" s="4" t="s">
        <v>24</v>
      </c>
      <c r="H277" s="4" t="s">
        <v>25</v>
      </c>
      <c r="I277" s="4" t="s">
        <v>866</v>
      </c>
      <c r="J277" s="4" t="s">
        <v>867</v>
      </c>
      <c r="K277" s="5">
        <v>44953</v>
      </c>
      <c r="L277" s="5">
        <v>44970</v>
      </c>
      <c r="M277" s="5">
        <v>44981</v>
      </c>
      <c r="N277" s="6">
        <f>M277-L277</f>
        <v>11</v>
      </c>
      <c r="O277" s="4" t="s">
        <v>28</v>
      </c>
      <c r="P277" s="4">
        <v>3020.53</v>
      </c>
      <c r="Q277" s="4"/>
      <c r="R277" s="4" t="str">
        <f t="shared" si="17"/>
        <v>2023</v>
      </c>
      <c r="S277" s="4" t="str">
        <f t="shared" si="18"/>
        <v>February</v>
      </c>
      <c r="T277" s="4">
        <f t="shared" si="19"/>
        <v>3020.53</v>
      </c>
      <c r="U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row>
    <row r="278" spans="1:53" ht="19.95" customHeight="1">
      <c r="A278" s="4">
        <v>277</v>
      </c>
      <c r="B278" s="4" t="s">
        <v>868</v>
      </c>
      <c r="C278" s="4" t="s">
        <v>65</v>
      </c>
      <c r="D278" s="4" t="s">
        <v>56</v>
      </c>
      <c r="E278" s="4" t="s">
        <v>672</v>
      </c>
      <c r="F278" s="4" t="s">
        <v>43</v>
      </c>
      <c r="G278" s="4" t="s">
        <v>24</v>
      </c>
      <c r="H278" s="4" t="s">
        <v>44</v>
      </c>
      <c r="I278" s="4" t="s">
        <v>869</v>
      </c>
      <c r="J278" s="4" t="s">
        <v>870</v>
      </c>
      <c r="K278" s="5">
        <v>44953</v>
      </c>
      <c r="L278" s="5"/>
      <c r="M278" s="5">
        <v>44998</v>
      </c>
      <c r="N278" s="6"/>
      <c r="O278" s="4" t="s">
        <v>28</v>
      </c>
      <c r="P278" s="4">
        <v>22783.86</v>
      </c>
      <c r="Q278" s="4"/>
      <c r="R278" s="4"/>
      <c r="S278" s="4" t="str">
        <f t="shared" si="18"/>
        <v>January</v>
      </c>
      <c r="T278" s="4">
        <f t="shared" si="19"/>
        <v>22783.86</v>
      </c>
      <c r="U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row>
    <row r="279" spans="1:53" ht="19.95" customHeight="1">
      <c r="A279" s="4">
        <v>278</v>
      </c>
      <c r="B279" s="4" t="s">
        <v>871</v>
      </c>
      <c r="C279" s="4" t="s">
        <v>20</v>
      </c>
      <c r="D279" s="4" t="s">
        <v>56</v>
      </c>
      <c r="E279" s="4" t="s">
        <v>39</v>
      </c>
      <c r="F279" s="4" t="s">
        <v>23</v>
      </c>
      <c r="G279" s="4" t="s">
        <v>24</v>
      </c>
      <c r="H279" s="4" t="s">
        <v>25</v>
      </c>
      <c r="I279" s="4" t="s">
        <v>872</v>
      </c>
      <c r="J279" s="4" t="s">
        <v>873</v>
      </c>
      <c r="K279" s="5">
        <v>44952</v>
      </c>
      <c r="L279" s="5">
        <v>45077</v>
      </c>
      <c r="M279" s="5">
        <v>45096</v>
      </c>
      <c r="N279" s="6">
        <f>M279-L279</f>
        <v>19</v>
      </c>
      <c r="O279" s="4" t="s">
        <v>28</v>
      </c>
      <c r="P279" s="4">
        <v>6839.07</v>
      </c>
      <c r="Q279" s="4"/>
      <c r="R279" s="4" t="str">
        <f t="shared" si="17"/>
        <v>2023</v>
      </c>
      <c r="S279" s="4" t="str">
        <f t="shared" si="18"/>
        <v>May</v>
      </c>
      <c r="T279" s="4">
        <f t="shared" si="19"/>
        <v>6839.07</v>
      </c>
      <c r="U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row>
    <row r="280" spans="1:53" ht="19.95" customHeight="1">
      <c r="A280" s="4">
        <v>279</v>
      </c>
      <c r="B280" s="4" t="s">
        <v>874</v>
      </c>
      <c r="C280" s="4" t="s">
        <v>65</v>
      </c>
      <c r="D280" s="4" t="s">
        <v>56</v>
      </c>
      <c r="E280" s="4" t="s">
        <v>345</v>
      </c>
      <c r="F280" s="4" t="s">
        <v>589</v>
      </c>
      <c r="G280" s="4" t="s">
        <v>24</v>
      </c>
      <c r="H280" s="4" t="s">
        <v>346</v>
      </c>
      <c r="I280" s="4" t="s">
        <v>875</v>
      </c>
      <c r="J280" s="4" t="s">
        <v>876</v>
      </c>
      <c r="K280" s="5">
        <v>44951</v>
      </c>
      <c r="L280" s="5">
        <v>44966</v>
      </c>
      <c r="M280" s="5">
        <v>44968</v>
      </c>
      <c r="N280" s="6">
        <f>M280-L280</f>
        <v>2</v>
      </c>
      <c r="O280" s="4" t="s">
        <v>28</v>
      </c>
      <c r="P280" s="4">
        <v>4528</v>
      </c>
      <c r="Q280" s="4"/>
      <c r="R280" s="4" t="str">
        <f t="shared" si="17"/>
        <v>2023</v>
      </c>
      <c r="S280" s="4" t="str">
        <f t="shared" si="18"/>
        <v>February</v>
      </c>
      <c r="T280" s="4">
        <f t="shared" si="19"/>
        <v>4528</v>
      </c>
      <c r="U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row>
    <row r="281" spans="1:53" ht="19.95" customHeight="1">
      <c r="A281" s="4">
        <v>280</v>
      </c>
      <c r="B281" s="4" t="s">
        <v>877</v>
      </c>
      <c r="C281" s="4" t="s">
        <v>65</v>
      </c>
      <c r="D281" s="4" t="s">
        <v>56</v>
      </c>
      <c r="E281" s="4" t="s">
        <v>345</v>
      </c>
      <c r="F281" s="4" t="s">
        <v>589</v>
      </c>
      <c r="G281" s="4" t="s">
        <v>24</v>
      </c>
      <c r="H281" s="4" t="s">
        <v>346</v>
      </c>
      <c r="I281" s="4" t="s">
        <v>875</v>
      </c>
      <c r="J281" s="4" t="s">
        <v>876</v>
      </c>
      <c r="K281" s="5">
        <v>44950</v>
      </c>
      <c r="L281" s="5">
        <v>44961</v>
      </c>
      <c r="M281" s="5">
        <v>44966</v>
      </c>
      <c r="N281" s="6">
        <f>M281-L281</f>
        <v>5</v>
      </c>
      <c r="O281" s="4" t="s">
        <v>28</v>
      </c>
      <c r="P281" s="4">
        <v>7374</v>
      </c>
      <c r="Q281" s="4"/>
      <c r="R281" s="4" t="str">
        <f t="shared" si="17"/>
        <v>2023</v>
      </c>
      <c r="S281" s="4" t="str">
        <f t="shared" si="18"/>
        <v>February</v>
      </c>
      <c r="T281" s="4">
        <f t="shared" si="19"/>
        <v>7374</v>
      </c>
      <c r="U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row>
    <row r="282" spans="1:53" ht="19.95" customHeight="1">
      <c r="A282" s="4">
        <v>281</v>
      </c>
      <c r="B282" s="4" t="s">
        <v>878</v>
      </c>
      <c r="C282" s="4" t="s">
        <v>20</v>
      </c>
      <c r="D282" s="4" t="s">
        <v>21</v>
      </c>
      <c r="E282" s="4" t="s">
        <v>31</v>
      </c>
      <c r="F282" s="4" t="s">
        <v>43</v>
      </c>
      <c r="G282" s="4" t="s">
        <v>24</v>
      </c>
      <c r="H282" s="4" t="s">
        <v>44</v>
      </c>
      <c r="I282" s="4" t="s">
        <v>879</v>
      </c>
      <c r="J282" s="4" t="s">
        <v>880</v>
      </c>
      <c r="K282" s="5">
        <v>44949</v>
      </c>
      <c r="L282" s="5">
        <v>45049</v>
      </c>
      <c r="M282" s="5">
        <v>45062</v>
      </c>
      <c r="N282" s="6">
        <f>M282-L282</f>
        <v>13</v>
      </c>
      <c r="O282" s="4" t="s">
        <v>28</v>
      </c>
      <c r="P282" s="4">
        <v>2888.59</v>
      </c>
      <c r="Q282" s="4"/>
      <c r="R282" s="4" t="str">
        <f t="shared" si="17"/>
        <v>2023</v>
      </c>
      <c r="S282" s="4" t="str">
        <f t="shared" si="18"/>
        <v>May</v>
      </c>
      <c r="T282" s="4">
        <f t="shared" si="19"/>
        <v>2888.59</v>
      </c>
      <c r="U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row>
    <row r="283" spans="1:53" ht="19.95" customHeight="1">
      <c r="A283" s="4">
        <v>282</v>
      </c>
      <c r="B283" s="4" t="s">
        <v>881</v>
      </c>
      <c r="C283" s="4" t="s">
        <v>65</v>
      </c>
      <c r="D283" s="4" t="s">
        <v>882</v>
      </c>
      <c r="E283" s="4" t="s">
        <v>672</v>
      </c>
      <c r="F283" s="4" t="s">
        <v>43</v>
      </c>
      <c r="G283" s="4" t="s">
        <v>24</v>
      </c>
      <c r="H283" s="4" t="s">
        <v>44</v>
      </c>
      <c r="I283" s="4" t="s">
        <v>883</v>
      </c>
      <c r="J283" s="4" t="s">
        <v>884</v>
      </c>
      <c r="K283" s="5">
        <v>44945</v>
      </c>
      <c r="L283" s="5"/>
      <c r="M283" s="5">
        <v>44981</v>
      </c>
      <c r="N283" s="6"/>
      <c r="O283" s="4" t="s">
        <v>28</v>
      </c>
      <c r="P283" s="4">
        <v>16399.349999999999</v>
      </c>
      <c r="Q283" s="4"/>
      <c r="R283" s="4"/>
      <c r="S283" s="4" t="str">
        <f t="shared" si="18"/>
        <v>January</v>
      </c>
      <c r="T283" s="4">
        <f t="shared" si="19"/>
        <v>16399.349999999999</v>
      </c>
      <c r="U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row>
    <row r="284" spans="1:53" ht="19.95" customHeight="1">
      <c r="A284" s="4">
        <v>283</v>
      </c>
      <c r="B284" s="4" t="s">
        <v>885</v>
      </c>
      <c r="C284" s="4" t="s">
        <v>20</v>
      </c>
      <c r="D284" s="4" t="s">
        <v>56</v>
      </c>
      <c r="E284" s="4" t="s">
        <v>455</v>
      </c>
      <c r="F284" s="4" t="s">
        <v>23</v>
      </c>
      <c r="G284" s="4" t="s">
        <v>24</v>
      </c>
      <c r="H284" s="4" t="s">
        <v>25</v>
      </c>
      <c r="I284" s="4" t="s">
        <v>886</v>
      </c>
      <c r="J284" s="4" t="s">
        <v>887</v>
      </c>
      <c r="K284" s="5">
        <v>44943</v>
      </c>
      <c r="L284" s="5">
        <v>44958</v>
      </c>
      <c r="M284" s="5">
        <v>44968</v>
      </c>
      <c r="N284" s="6">
        <f>M284-L284</f>
        <v>10</v>
      </c>
      <c r="O284" s="4" t="s">
        <v>28</v>
      </c>
      <c r="P284" s="4">
        <v>1657.17</v>
      </c>
      <c r="Q284" s="4"/>
      <c r="R284" s="4" t="str">
        <f t="shared" si="17"/>
        <v>2023</v>
      </c>
      <c r="S284" s="4" t="str">
        <f t="shared" si="18"/>
        <v>February</v>
      </c>
      <c r="T284" s="4">
        <f t="shared" si="19"/>
        <v>1657.17</v>
      </c>
      <c r="U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row>
    <row r="285" spans="1:53" ht="19.95" customHeight="1">
      <c r="A285" s="4">
        <v>284</v>
      </c>
      <c r="B285" s="4" t="s">
        <v>888</v>
      </c>
      <c r="C285" s="4" t="s">
        <v>20</v>
      </c>
      <c r="D285" s="4" t="s">
        <v>21</v>
      </c>
      <c r="E285" s="4" t="s">
        <v>455</v>
      </c>
      <c r="F285" s="4" t="s">
        <v>23</v>
      </c>
      <c r="G285" s="4" t="s">
        <v>24</v>
      </c>
      <c r="H285" s="4" t="s">
        <v>25</v>
      </c>
      <c r="I285" s="4" t="s">
        <v>889</v>
      </c>
      <c r="J285" s="4" t="s">
        <v>890</v>
      </c>
      <c r="K285" s="5">
        <v>44943</v>
      </c>
      <c r="L285" s="5">
        <v>45129</v>
      </c>
      <c r="M285" s="5">
        <v>45139</v>
      </c>
      <c r="N285" s="6">
        <f>M285-L285</f>
        <v>10</v>
      </c>
      <c r="O285" s="4" t="s">
        <v>28</v>
      </c>
      <c r="P285" s="4">
        <v>5711.35</v>
      </c>
      <c r="Q285" s="4"/>
      <c r="R285" s="4" t="str">
        <f t="shared" si="17"/>
        <v>2023</v>
      </c>
      <c r="S285" s="4" t="str">
        <f t="shared" si="18"/>
        <v>July</v>
      </c>
      <c r="T285" s="4">
        <f t="shared" si="19"/>
        <v>5711.35</v>
      </c>
      <c r="U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row>
    <row r="286" spans="1:53" ht="19.95" customHeight="1">
      <c r="A286" s="4">
        <v>285</v>
      </c>
      <c r="B286" s="4" t="s">
        <v>891</v>
      </c>
      <c r="C286" s="4" t="s">
        <v>20</v>
      </c>
      <c r="D286" s="4" t="s">
        <v>56</v>
      </c>
      <c r="E286" s="4" t="s">
        <v>455</v>
      </c>
      <c r="F286" s="4" t="s">
        <v>57</v>
      </c>
      <c r="G286" s="4" t="s">
        <v>24</v>
      </c>
      <c r="H286" s="4" t="s">
        <v>58</v>
      </c>
      <c r="I286" s="4" t="s">
        <v>892</v>
      </c>
      <c r="J286" s="4" t="s">
        <v>893</v>
      </c>
      <c r="K286" s="5">
        <v>44943</v>
      </c>
      <c r="L286" s="5">
        <v>45024</v>
      </c>
      <c r="M286" s="5">
        <v>45030</v>
      </c>
      <c r="N286" s="6">
        <f>M286-L286</f>
        <v>6</v>
      </c>
      <c r="O286" s="4" t="s">
        <v>28</v>
      </c>
      <c r="P286" s="4">
        <v>6999.5</v>
      </c>
      <c r="Q286" s="4"/>
      <c r="R286" s="4" t="str">
        <f t="shared" si="17"/>
        <v>2023</v>
      </c>
      <c r="S286" s="4" t="str">
        <f t="shared" si="18"/>
        <v>April</v>
      </c>
      <c r="T286" s="4">
        <f t="shared" si="19"/>
        <v>6999.5</v>
      </c>
      <c r="U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row>
    <row r="287" spans="1:53" ht="19.95" customHeight="1">
      <c r="A287" s="4">
        <v>286</v>
      </c>
      <c r="B287" s="4" t="s">
        <v>894</v>
      </c>
      <c r="C287" s="4" t="s">
        <v>20</v>
      </c>
      <c r="D287" s="4" t="s">
        <v>21</v>
      </c>
      <c r="E287" s="4" t="s">
        <v>39</v>
      </c>
      <c r="F287" s="4" t="s">
        <v>23</v>
      </c>
      <c r="G287" s="4" t="s">
        <v>24</v>
      </c>
      <c r="H287" s="4" t="s">
        <v>25</v>
      </c>
      <c r="I287" s="4" t="s">
        <v>895</v>
      </c>
      <c r="J287" s="4" t="s">
        <v>896</v>
      </c>
      <c r="K287" s="5">
        <v>44943</v>
      </c>
      <c r="L287" s="5">
        <v>45019</v>
      </c>
      <c r="M287" s="5">
        <v>45032</v>
      </c>
      <c r="N287" s="6">
        <f>M287-L287</f>
        <v>13</v>
      </c>
      <c r="O287" s="4" t="s">
        <v>28</v>
      </c>
      <c r="P287" s="4">
        <v>10012.969999999999</v>
      </c>
      <c r="Q287" s="4"/>
      <c r="R287" s="4" t="str">
        <f t="shared" si="17"/>
        <v>2023</v>
      </c>
      <c r="S287" s="4" t="str">
        <f t="shared" si="18"/>
        <v>April</v>
      </c>
      <c r="T287" s="4">
        <f t="shared" si="19"/>
        <v>10012.969999999999</v>
      </c>
      <c r="U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row>
    <row r="288" spans="1:53" ht="19.95" customHeight="1">
      <c r="A288" s="4">
        <v>287</v>
      </c>
      <c r="B288" s="4" t="s">
        <v>897</v>
      </c>
      <c r="C288" s="4" t="s">
        <v>20</v>
      </c>
      <c r="D288" s="4" t="s">
        <v>21</v>
      </c>
      <c r="E288" s="4" t="s">
        <v>325</v>
      </c>
      <c r="F288" s="4" t="s">
        <v>23</v>
      </c>
      <c r="G288" s="4" t="s">
        <v>24</v>
      </c>
      <c r="H288" s="4" t="s">
        <v>25</v>
      </c>
      <c r="I288" s="4" t="s">
        <v>898</v>
      </c>
      <c r="J288" s="4" t="s">
        <v>899</v>
      </c>
      <c r="K288" s="5">
        <v>44942</v>
      </c>
      <c r="L288" s="5"/>
      <c r="M288" s="5">
        <v>45144</v>
      </c>
      <c r="N288" s="6"/>
      <c r="O288" s="4" t="s">
        <v>334</v>
      </c>
      <c r="P288" s="4">
        <v>6005.87</v>
      </c>
      <c r="Q288" s="4"/>
      <c r="R288" s="4"/>
      <c r="S288" s="4" t="str">
        <f t="shared" si="18"/>
        <v>January</v>
      </c>
      <c r="T288" s="4">
        <f t="shared" si="19"/>
        <v>6005.87</v>
      </c>
      <c r="U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row>
    <row r="289" spans="1:53" ht="19.95" customHeight="1">
      <c r="A289" s="4">
        <v>288</v>
      </c>
      <c r="B289" s="4" t="s">
        <v>900</v>
      </c>
      <c r="C289" s="4" t="s">
        <v>20</v>
      </c>
      <c r="D289" s="4" t="s">
        <v>21</v>
      </c>
      <c r="E289" s="4" t="s">
        <v>455</v>
      </c>
      <c r="F289" s="4" t="s">
        <v>23</v>
      </c>
      <c r="G289" s="4" t="s">
        <v>24</v>
      </c>
      <c r="H289" s="4" t="s">
        <v>25</v>
      </c>
      <c r="I289" s="4" t="s">
        <v>901</v>
      </c>
      <c r="J289" s="4" t="s">
        <v>902</v>
      </c>
      <c r="K289" s="5">
        <v>44942</v>
      </c>
      <c r="L289" s="5">
        <v>44966</v>
      </c>
      <c r="M289" s="5">
        <v>44980</v>
      </c>
      <c r="N289" s="6">
        <f t="shared" ref="N289:N320" si="20">M289-L289</f>
        <v>14</v>
      </c>
      <c r="O289" s="4" t="s">
        <v>28</v>
      </c>
      <c r="P289" s="4">
        <v>4200.04</v>
      </c>
      <c r="Q289" s="4"/>
      <c r="R289" s="4" t="str">
        <f t="shared" si="17"/>
        <v>2023</v>
      </c>
      <c r="S289" s="4" t="str">
        <f t="shared" si="18"/>
        <v>February</v>
      </c>
      <c r="T289" s="4">
        <f t="shared" si="19"/>
        <v>4200.04</v>
      </c>
      <c r="U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row>
    <row r="290" spans="1:53" ht="19.95" customHeight="1">
      <c r="A290" s="4">
        <v>289</v>
      </c>
      <c r="B290" s="4" t="s">
        <v>903</v>
      </c>
      <c r="C290" s="4" t="s">
        <v>20</v>
      </c>
      <c r="D290" s="4" t="s">
        <v>56</v>
      </c>
      <c r="E290" s="4" t="s">
        <v>455</v>
      </c>
      <c r="F290" s="4" t="s">
        <v>904</v>
      </c>
      <c r="G290" s="4" t="s">
        <v>24</v>
      </c>
      <c r="H290" s="4" t="s">
        <v>905</v>
      </c>
      <c r="I290" s="4" t="s">
        <v>906</v>
      </c>
      <c r="J290" s="4" t="s">
        <v>907</v>
      </c>
      <c r="K290" s="5">
        <v>44940</v>
      </c>
      <c r="L290" s="5">
        <v>44993</v>
      </c>
      <c r="M290" s="5">
        <v>45002</v>
      </c>
      <c r="N290" s="6">
        <f t="shared" si="20"/>
        <v>9</v>
      </c>
      <c r="O290" s="4" t="s">
        <v>28</v>
      </c>
      <c r="P290" s="4">
        <v>8287.91</v>
      </c>
      <c r="Q290" s="4"/>
      <c r="R290" s="4" t="str">
        <f t="shared" si="17"/>
        <v>2023</v>
      </c>
      <c r="S290" s="4" t="str">
        <f t="shared" si="18"/>
        <v>March</v>
      </c>
      <c r="T290" s="4">
        <f t="shared" si="19"/>
        <v>8287.91</v>
      </c>
      <c r="U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row>
    <row r="291" spans="1:53" ht="19.95" customHeight="1">
      <c r="A291" s="4">
        <v>290</v>
      </c>
      <c r="B291" s="4" t="s">
        <v>908</v>
      </c>
      <c r="C291" s="4" t="s">
        <v>20</v>
      </c>
      <c r="D291" s="4" t="s">
        <v>56</v>
      </c>
      <c r="E291" s="4" t="s">
        <v>39</v>
      </c>
      <c r="F291" s="4" t="s">
        <v>23</v>
      </c>
      <c r="G291" s="4" t="s">
        <v>24</v>
      </c>
      <c r="H291" s="4" t="s">
        <v>25</v>
      </c>
      <c r="I291" s="4" t="s">
        <v>909</v>
      </c>
      <c r="J291" s="4" t="s">
        <v>910</v>
      </c>
      <c r="K291" s="5">
        <v>44939</v>
      </c>
      <c r="L291" s="5">
        <v>44963</v>
      </c>
      <c r="M291" s="5">
        <v>44975</v>
      </c>
      <c r="N291" s="6">
        <f t="shared" si="20"/>
        <v>12</v>
      </c>
      <c r="O291" s="4" t="s">
        <v>28</v>
      </c>
      <c r="P291" s="4">
        <v>1565.76</v>
      </c>
      <c r="Q291" s="4"/>
      <c r="R291" s="4" t="str">
        <f t="shared" si="17"/>
        <v>2023</v>
      </c>
      <c r="S291" s="4" t="str">
        <f t="shared" si="18"/>
        <v>February</v>
      </c>
      <c r="T291" s="4">
        <f t="shared" si="19"/>
        <v>1565.76</v>
      </c>
      <c r="U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row>
    <row r="292" spans="1:53" ht="19.95" customHeight="1">
      <c r="A292" s="4">
        <v>291</v>
      </c>
      <c r="B292" s="4" t="s">
        <v>911</v>
      </c>
      <c r="C292" s="4" t="s">
        <v>20</v>
      </c>
      <c r="D292" s="4" t="s">
        <v>21</v>
      </c>
      <c r="E292" s="4" t="s">
        <v>325</v>
      </c>
      <c r="F292" s="4" t="s">
        <v>23</v>
      </c>
      <c r="G292" s="4" t="s">
        <v>24</v>
      </c>
      <c r="H292" s="4" t="s">
        <v>25</v>
      </c>
      <c r="I292" s="4" t="s">
        <v>912</v>
      </c>
      <c r="J292" s="4" t="s">
        <v>913</v>
      </c>
      <c r="K292" s="5">
        <v>44939</v>
      </c>
      <c r="L292" s="5">
        <v>45135</v>
      </c>
      <c r="M292" s="5">
        <v>45147</v>
      </c>
      <c r="N292" s="6">
        <f t="shared" si="20"/>
        <v>12</v>
      </c>
      <c r="O292" s="4" t="s">
        <v>334</v>
      </c>
      <c r="P292" s="4">
        <v>5582.45</v>
      </c>
      <c r="Q292" s="4"/>
      <c r="R292" s="4" t="str">
        <f t="shared" si="17"/>
        <v>2023</v>
      </c>
      <c r="S292" s="4" t="str">
        <f t="shared" si="18"/>
        <v>July</v>
      </c>
      <c r="T292" s="4">
        <f t="shared" si="19"/>
        <v>5582.45</v>
      </c>
      <c r="U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row>
    <row r="293" spans="1:53" ht="19.95" customHeight="1">
      <c r="A293" s="4">
        <v>292</v>
      </c>
      <c r="B293" s="4" t="s">
        <v>914</v>
      </c>
      <c r="C293" s="4" t="s">
        <v>20</v>
      </c>
      <c r="D293" s="4" t="s">
        <v>21</v>
      </c>
      <c r="E293" s="4" t="s">
        <v>39</v>
      </c>
      <c r="F293" s="4" t="s">
        <v>23</v>
      </c>
      <c r="G293" s="4" t="s">
        <v>24</v>
      </c>
      <c r="H293" s="4" t="s">
        <v>25</v>
      </c>
      <c r="I293" s="4" t="s">
        <v>915</v>
      </c>
      <c r="J293" s="4" t="s">
        <v>916</v>
      </c>
      <c r="K293" s="5">
        <v>44939</v>
      </c>
      <c r="L293" s="5">
        <v>44988</v>
      </c>
      <c r="M293" s="5">
        <v>45003</v>
      </c>
      <c r="N293" s="6">
        <f t="shared" si="20"/>
        <v>15</v>
      </c>
      <c r="O293" s="4" t="s">
        <v>28</v>
      </c>
      <c r="P293" s="4">
        <v>8527.58</v>
      </c>
      <c r="Q293" s="4"/>
      <c r="R293" s="4" t="str">
        <f t="shared" si="17"/>
        <v>2023</v>
      </c>
      <c r="S293" s="4" t="str">
        <f t="shared" si="18"/>
        <v>March</v>
      </c>
      <c r="T293" s="4">
        <f t="shared" si="19"/>
        <v>8527.58</v>
      </c>
      <c r="U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row>
    <row r="294" spans="1:53" ht="19.95" customHeight="1">
      <c r="A294" s="4">
        <v>293</v>
      </c>
      <c r="B294" s="4" t="s">
        <v>917</v>
      </c>
      <c r="C294" s="4" t="s">
        <v>20</v>
      </c>
      <c r="D294" s="4" t="s">
        <v>21</v>
      </c>
      <c r="E294" s="4" t="s">
        <v>455</v>
      </c>
      <c r="F294" s="4" t="s">
        <v>23</v>
      </c>
      <c r="G294" s="4" t="s">
        <v>24</v>
      </c>
      <c r="H294" s="4" t="s">
        <v>25</v>
      </c>
      <c r="I294" s="4" t="s">
        <v>918</v>
      </c>
      <c r="J294" s="4" t="s">
        <v>919</v>
      </c>
      <c r="K294" s="5">
        <v>44938</v>
      </c>
      <c r="L294" s="5">
        <v>44949</v>
      </c>
      <c r="M294" s="5">
        <v>44952</v>
      </c>
      <c r="N294" s="6">
        <f t="shared" si="20"/>
        <v>3</v>
      </c>
      <c r="O294" s="4" t="s">
        <v>28</v>
      </c>
      <c r="P294" s="4">
        <v>1129.6199999999999</v>
      </c>
      <c r="Q294" s="4"/>
      <c r="R294" s="4" t="str">
        <f t="shared" si="17"/>
        <v>2023</v>
      </c>
      <c r="S294" s="4" t="str">
        <f t="shared" si="18"/>
        <v>January</v>
      </c>
      <c r="T294" s="4">
        <f t="shared" si="19"/>
        <v>1129.6199999999999</v>
      </c>
      <c r="U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row>
    <row r="295" spans="1:53" ht="19.95" customHeight="1">
      <c r="A295" s="4">
        <v>294</v>
      </c>
      <c r="B295" s="4" t="s">
        <v>920</v>
      </c>
      <c r="C295" s="4" t="s">
        <v>20</v>
      </c>
      <c r="D295" s="4" t="s">
        <v>21</v>
      </c>
      <c r="E295" s="4" t="s">
        <v>39</v>
      </c>
      <c r="F295" s="4" t="s">
        <v>43</v>
      </c>
      <c r="G295" s="4" t="s">
        <v>24</v>
      </c>
      <c r="H295" s="4" t="s">
        <v>44</v>
      </c>
      <c r="I295" s="4" t="s">
        <v>921</v>
      </c>
      <c r="J295" s="4" t="s">
        <v>922</v>
      </c>
      <c r="K295" s="5">
        <v>44934</v>
      </c>
      <c r="L295" s="5">
        <v>44966</v>
      </c>
      <c r="M295" s="5">
        <v>44978</v>
      </c>
      <c r="N295" s="6">
        <f t="shared" si="20"/>
        <v>12</v>
      </c>
      <c r="O295" s="4" t="s">
        <v>28</v>
      </c>
      <c r="P295" s="4">
        <v>2836.86</v>
      </c>
      <c r="Q295" s="4"/>
      <c r="R295" s="4" t="str">
        <f t="shared" si="17"/>
        <v>2023</v>
      </c>
      <c r="S295" s="4" t="str">
        <f t="shared" si="18"/>
        <v>February</v>
      </c>
      <c r="T295" s="4">
        <f t="shared" si="19"/>
        <v>2836.86</v>
      </c>
      <c r="U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row>
    <row r="296" spans="1:53" ht="19.95" customHeight="1">
      <c r="A296" s="4">
        <v>295</v>
      </c>
      <c r="B296" s="4" t="s">
        <v>923</v>
      </c>
      <c r="C296" s="4" t="s">
        <v>20</v>
      </c>
      <c r="D296" s="4" t="s">
        <v>21</v>
      </c>
      <c r="E296" s="4" t="s">
        <v>455</v>
      </c>
      <c r="F296" s="4" t="s">
        <v>23</v>
      </c>
      <c r="G296" s="4" t="s">
        <v>24</v>
      </c>
      <c r="H296" s="4" t="s">
        <v>25</v>
      </c>
      <c r="I296" s="4" t="s">
        <v>924</v>
      </c>
      <c r="J296" s="4" t="s">
        <v>925</v>
      </c>
      <c r="K296" s="5">
        <v>44933</v>
      </c>
      <c r="L296" s="5">
        <v>44965</v>
      </c>
      <c r="M296" s="5">
        <v>44982</v>
      </c>
      <c r="N296" s="6">
        <f t="shared" si="20"/>
        <v>17</v>
      </c>
      <c r="O296" s="4" t="s">
        <v>28</v>
      </c>
      <c r="P296" s="4">
        <v>16059.49</v>
      </c>
      <c r="Q296" s="4"/>
      <c r="R296" s="4" t="str">
        <f t="shared" si="17"/>
        <v>2023</v>
      </c>
      <c r="S296" s="4" t="str">
        <f t="shared" si="18"/>
        <v>February</v>
      </c>
      <c r="T296" s="4">
        <f t="shared" si="19"/>
        <v>16059.49</v>
      </c>
      <c r="U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row>
    <row r="297" spans="1:53" ht="19.95" customHeight="1">
      <c r="A297" s="4">
        <v>296</v>
      </c>
      <c r="B297" s="4" t="s">
        <v>926</v>
      </c>
      <c r="C297" s="4" t="s">
        <v>20</v>
      </c>
      <c r="D297" s="4" t="s">
        <v>38</v>
      </c>
      <c r="E297" s="4" t="s">
        <v>39</v>
      </c>
      <c r="F297" s="4" t="s">
        <v>128</v>
      </c>
      <c r="G297" s="4" t="s">
        <v>24</v>
      </c>
      <c r="H297" s="4" t="s">
        <v>129</v>
      </c>
      <c r="I297" s="4" t="s">
        <v>927</v>
      </c>
      <c r="J297" s="4" t="s">
        <v>928</v>
      </c>
      <c r="K297" s="5">
        <v>44931</v>
      </c>
      <c r="L297" s="5">
        <v>44989</v>
      </c>
      <c r="M297" s="5">
        <v>45003</v>
      </c>
      <c r="N297" s="6">
        <f t="shared" si="20"/>
        <v>14</v>
      </c>
      <c r="O297" s="4" t="s">
        <v>28</v>
      </c>
      <c r="P297" s="4">
        <v>7728.18</v>
      </c>
      <c r="Q297" s="4"/>
      <c r="R297" s="4" t="str">
        <f t="shared" si="17"/>
        <v>2023</v>
      </c>
      <c r="S297" s="4" t="str">
        <f t="shared" si="18"/>
        <v>March</v>
      </c>
      <c r="T297" s="4">
        <f t="shared" si="19"/>
        <v>7728.18</v>
      </c>
      <c r="U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row>
    <row r="298" spans="1:53" ht="19.95" customHeight="1">
      <c r="A298" s="4">
        <v>297</v>
      </c>
      <c r="B298" s="4" t="s">
        <v>929</v>
      </c>
      <c r="C298" s="4" t="s">
        <v>20</v>
      </c>
      <c r="D298" s="4" t="s">
        <v>21</v>
      </c>
      <c r="E298" s="4" t="s">
        <v>39</v>
      </c>
      <c r="F298" s="4" t="s">
        <v>23</v>
      </c>
      <c r="G298" s="4" t="s">
        <v>24</v>
      </c>
      <c r="H298" s="4" t="s">
        <v>25</v>
      </c>
      <c r="I298" s="4" t="s">
        <v>930</v>
      </c>
      <c r="J298" s="4" t="s">
        <v>931</v>
      </c>
      <c r="K298" s="5">
        <v>44930</v>
      </c>
      <c r="L298" s="5">
        <v>45008</v>
      </c>
      <c r="M298" s="5">
        <v>45025</v>
      </c>
      <c r="N298" s="6">
        <f t="shared" si="20"/>
        <v>17</v>
      </c>
      <c r="O298" s="4" t="s">
        <v>28</v>
      </c>
      <c r="P298" s="4">
        <v>10368.870000000001</v>
      </c>
      <c r="Q298" s="4"/>
      <c r="R298" s="4" t="str">
        <f t="shared" si="17"/>
        <v>2023</v>
      </c>
      <c r="S298" s="4" t="str">
        <f t="shared" si="18"/>
        <v>March</v>
      </c>
      <c r="T298" s="4">
        <f t="shared" si="19"/>
        <v>10368.870000000001</v>
      </c>
      <c r="U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row>
    <row r="299" spans="1:53" ht="19.95" customHeight="1">
      <c r="A299" s="4">
        <v>298</v>
      </c>
      <c r="B299" s="4" t="s">
        <v>932</v>
      </c>
      <c r="C299" s="4" t="s">
        <v>65</v>
      </c>
      <c r="D299" s="4" t="s">
        <v>21</v>
      </c>
      <c r="E299" s="4" t="s">
        <v>39</v>
      </c>
      <c r="F299" s="4" t="s">
        <v>48</v>
      </c>
      <c r="G299" s="4" t="s">
        <v>24</v>
      </c>
      <c r="H299" s="4" t="s">
        <v>49</v>
      </c>
      <c r="I299" s="4" t="s">
        <v>933</v>
      </c>
      <c r="J299" s="4" t="s">
        <v>934</v>
      </c>
      <c r="K299" s="5">
        <v>44929</v>
      </c>
      <c r="L299" s="5"/>
      <c r="M299" s="4"/>
      <c r="N299" s="6">
        <f t="shared" si="20"/>
        <v>0</v>
      </c>
      <c r="O299" s="4" t="s">
        <v>28</v>
      </c>
      <c r="P299" s="4">
        <v>195</v>
      </c>
      <c r="Q299" s="4"/>
      <c r="R299" s="4"/>
      <c r="S299" s="4" t="str">
        <f t="shared" si="18"/>
        <v>January</v>
      </c>
      <c r="T299" s="4">
        <f t="shared" si="19"/>
        <v>195</v>
      </c>
      <c r="U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row>
    <row r="300" spans="1:53" ht="19.95" customHeight="1">
      <c r="A300" s="4">
        <v>299</v>
      </c>
      <c r="B300" s="4" t="s">
        <v>935</v>
      </c>
      <c r="C300" s="4" t="s">
        <v>65</v>
      </c>
      <c r="D300" s="4" t="s">
        <v>56</v>
      </c>
      <c r="E300" s="4" t="s">
        <v>672</v>
      </c>
      <c r="F300" s="4" t="s">
        <v>43</v>
      </c>
      <c r="G300" s="4" t="s">
        <v>24</v>
      </c>
      <c r="H300" s="4" t="s">
        <v>44</v>
      </c>
      <c r="I300" s="4" t="s">
        <v>936</v>
      </c>
      <c r="J300" s="4" t="s">
        <v>937</v>
      </c>
      <c r="K300" s="5">
        <v>44918</v>
      </c>
      <c r="L300" s="5">
        <v>44941</v>
      </c>
      <c r="M300" s="5">
        <v>44947</v>
      </c>
      <c r="N300" s="6">
        <f t="shared" si="20"/>
        <v>6</v>
      </c>
      <c r="O300" s="4" t="s">
        <v>28</v>
      </c>
      <c r="P300" s="4">
        <v>6175.13</v>
      </c>
      <c r="Q300" s="4"/>
      <c r="R300" s="4" t="str">
        <f t="shared" si="17"/>
        <v>2023</v>
      </c>
      <c r="S300" s="4" t="str">
        <f t="shared" si="18"/>
        <v>January</v>
      </c>
      <c r="T300" s="4">
        <f t="shared" si="19"/>
        <v>6175.13</v>
      </c>
      <c r="U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row>
    <row r="301" spans="1:53" ht="19.95" customHeight="1">
      <c r="A301" s="4">
        <v>300</v>
      </c>
      <c r="B301" s="4" t="s">
        <v>938</v>
      </c>
      <c r="C301" s="4" t="s">
        <v>65</v>
      </c>
      <c r="D301" s="4" t="s">
        <v>21</v>
      </c>
      <c r="E301" s="4" t="s">
        <v>455</v>
      </c>
      <c r="F301" s="4" t="s">
        <v>24</v>
      </c>
      <c r="G301" s="4" t="s">
        <v>24</v>
      </c>
      <c r="H301" s="4" t="s">
        <v>286</v>
      </c>
      <c r="I301" s="4" t="s">
        <v>939</v>
      </c>
      <c r="J301" s="4" t="s">
        <v>940</v>
      </c>
      <c r="K301" s="5">
        <v>44918</v>
      </c>
      <c r="L301" s="5">
        <v>44960</v>
      </c>
      <c r="M301" s="5">
        <v>44968</v>
      </c>
      <c r="N301" s="6">
        <f t="shared" si="20"/>
        <v>8</v>
      </c>
      <c r="O301" s="4" t="s">
        <v>28</v>
      </c>
      <c r="P301" s="4">
        <v>4439.28</v>
      </c>
      <c r="Q301" s="4"/>
      <c r="R301" s="4" t="str">
        <f t="shared" si="17"/>
        <v>2023</v>
      </c>
      <c r="S301" s="4" t="str">
        <f t="shared" si="18"/>
        <v>February</v>
      </c>
      <c r="T301" s="4">
        <f t="shared" si="19"/>
        <v>4439.28</v>
      </c>
      <c r="U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row>
    <row r="302" spans="1:53" ht="19.95" customHeight="1">
      <c r="A302" s="4">
        <v>301</v>
      </c>
      <c r="B302" s="4" t="s">
        <v>941</v>
      </c>
      <c r="C302" s="4" t="s">
        <v>20</v>
      </c>
      <c r="D302" s="4" t="s">
        <v>21</v>
      </c>
      <c r="E302" s="4" t="s">
        <v>455</v>
      </c>
      <c r="F302" s="4" t="s">
        <v>23</v>
      </c>
      <c r="G302" s="4" t="s">
        <v>24</v>
      </c>
      <c r="H302" s="4" t="s">
        <v>25</v>
      </c>
      <c r="I302" s="4" t="s">
        <v>142</v>
      </c>
      <c r="J302" s="4" t="s">
        <v>143</v>
      </c>
      <c r="K302" s="5">
        <v>44915</v>
      </c>
      <c r="L302" s="5">
        <v>44967</v>
      </c>
      <c r="M302" s="5">
        <v>44978</v>
      </c>
      <c r="N302" s="6">
        <f t="shared" si="20"/>
        <v>11</v>
      </c>
      <c r="O302" s="4" t="s">
        <v>28</v>
      </c>
      <c r="P302" s="4">
        <v>7381.57</v>
      </c>
      <c r="Q302" s="4"/>
      <c r="R302" s="4" t="str">
        <f t="shared" si="17"/>
        <v>2023</v>
      </c>
      <c r="S302" s="4" t="str">
        <f t="shared" si="18"/>
        <v>February</v>
      </c>
      <c r="T302" s="4">
        <f t="shared" si="19"/>
        <v>7381.57</v>
      </c>
      <c r="U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row>
    <row r="303" spans="1:53" ht="19.95" customHeight="1">
      <c r="A303" s="4">
        <v>302</v>
      </c>
      <c r="B303" s="4" t="s">
        <v>942</v>
      </c>
      <c r="C303" s="4" t="s">
        <v>20</v>
      </c>
      <c r="D303" s="4" t="s">
        <v>21</v>
      </c>
      <c r="E303" s="4" t="s">
        <v>39</v>
      </c>
      <c r="F303" s="4" t="s">
        <v>589</v>
      </c>
      <c r="G303" s="4" t="s">
        <v>24</v>
      </c>
      <c r="H303" s="4" t="s">
        <v>346</v>
      </c>
      <c r="I303" s="4" t="s">
        <v>943</v>
      </c>
      <c r="J303" s="4" t="s">
        <v>944</v>
      </c>
      <c r="K303" s="5">
        <v>44915</v>
      </c>
      <c r="L303" s="5">
        <v>44926</v>
      </c>
      <c r="M303" s="5">
        <v>44933</v>
      </c>
      <c r="N303" s="6">
        <f t="shared" si="20"/>
        <v>7</v>
      </c>
      <c r="O303" s="4" t="s">
        <v>28</v>
      </c>
      <c r="P303" s="4">
        <v>1559.38</v>
      </c>
      <c r="Q303" s="4"/>
      <c r="R303" s="4" t="str">
        <f t="shared" si="17"/>
        <v>2022</v>
      </c>
      <c r="S303" s="4" t="str">
        <f t="shared" si="18"/>
        <v>December</v>
      </c>
      <c r="T303" s="4">
        <f t="shared" si="19"/>
        <v>1559.38</v>
      </c>
      <c r="U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row>
    <row r="304" spans="1:53" ht="19.95" customHeight="1">
      <c r="A304" s="4">
        <v>303</v>
      </c>
      <c r="B304" s="4" t="s">
        <v>945</v>
      </c>
      <c r="C304" s="4" t="s">
        <v>20</v>
      </c>
      <c r="D304" s="4" t="s">
        <v>21</v>
      </c>
      <c r="E304" s="4" t="s">
        <v>455</v>
      </c>
      <c r="F304" s="4" t="s">
        <v>48</v>
      </c>
      <c r="G304" s="4" t="s">
        <v>24</v>
      </c>
      <c r="H304" s="4" t="s">
        <v>49</v>
      </c>
      <c r="I304" s="4" t="s">
        <v>946</v>
      </c>
      <c r="J304" s="4" t="s">
        <v>947</v>
      </c>
      <c r="K304" s="5">
        <v>44912</v>
      </c>
      <c r="L304" s="5">
        <v>44914</v>
      </c>
      <c r="M304" s="5">
        <v>44914</v>
      </c>
      <c r="N304" s="6">
        <f t="shared" si="20"/>
        <v>0</v>
      </c>
      <c r="O304" s="4" t="s">
        <v>28</v>
      </c>
      <c r="P304" s="4">
        <v>254.9</v>
      </c>
      <c r="Q304" s="4"/>
      <c r="R304" s="4" t="str">
        <f t="shared" si="17"/>
        <v>2022</v>
      </c>
      <c r="S304" s="4" t="str">
        <f t="shared" si="18"/>
        <v>December</v>
      </c>
      <c r="T304" s="4">
        <f t="shared" si="19"/>
        <v>254.9</v>
      </c>
      <c r="U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row>
    <row r="305" spans="1:53" ht="19.95" customHeight="1">
      <c r="A305" s="4">
        <v>304</v>
      </c>
      <c r="B305" s="4" t="s">
        <v>948</v>
      </c>
      <c r="C305" s="4" t="s">
        <v>20</v>
      </c>
      <c r="D305" s="4" t="s">
        <v>21</v>
      </c>
      <c r="E305" s="4" t="s">
        <v>455</v>
      </c>
      <c r="F305" s="4" t="s">
        <v>23</v>
      </c>
      <c r="G305" s="4" t="s">
        <v>24</v>
      </c>
      <c r="H305" s="4" t="s">
        <v>25</v>
      </c>
      <c r="I305" s="4" t="s">
        <v>949</v>
      </c>
      <c r="J305" s="4" t="s">
        <v>950</v>
      </c>
      <c r="K305" s="5">
        <v>44911</v>
      </c>
      <c r="L305" s="5">
        <v>44999</v>
      </c>
      <c r="M305" s="5">
        <v>45010</v>
      </c>
      <c r="N305" s="6">
        <f t="shared" si="20"/>
        <v>11</v>
      </c>
      <c r="O305" s="4" t="s">
        <v>28</v>
      </c>
      <c r="P305" s="4">
        <v>1364.6</v>
      </c>
      <c r="Q305" s="4"/>
      <c r="R305" s="4" t="str">
        <f t="shared" si="17"/>
        <v>2023</v>
      </c>
      <c r="S305" s="4" t="str">
        <f t="shared" si="18"/>
        <v>March</v>
      </c>
      <c r="T305" s="4">
        <f t="shared" si="19"/>
        <v>1364.6</v>
      </c>
      <c r="U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row>
    <row r="306" spans="1:53" ht="19.95" customHeight="1">
      <c r="A306" s="4">
        <v>305</v>
      </c>
      <c r="B306" s="4" t="s">
        <v>951</v>
      </c>
      <c r="C306" s="4" t="s">
        <v>20</v>
      </c>
      <c r="D306" s="4" t="s">
        <v>21</v>
      </c>
      <c r="E306" s="4" t="s">
        <v>455</v>
      </c>
      <c r="F306" s="4" t="s">
        <v>23</v>
      </c>
      <c r="G306" s="4" t="s">
        <v>24</v>
      </c>
      <c r="H306" s="4" t="s">
        <v>25</v>
      </c>
      <c r="I306" s="4" t="s">
        <v>952</v>
      </c>
      <c r="J306" s="4" t="s">
        <v>953</v>
      </c>
      <c r="K306" s="5">
        <v>44911</v>
      </c>
      <c r="L306" s="5">
        <v>44960</v>
      </c>
      <c r="M306" s="5">
        <v>44966</v>
      </c>
      <c r="N306" s="6">
        <f t="shared" si="20"/>
        <v>6</v>
      </c>
      <c r="O306" s="4" t="s">
        <v>28</v>
      </c>
      <c r="P306" s="4">
        <v>651</v>
      </c>
      <c r="Q306" s="4"/>
      <c r="R306" s="4" t="str">
        <f t="shared" si="17"/>
        <v>2023</v>
      </c>
      <c r="S306" s="4" t="str">
        <f t="shared" si="18"/>
        <v>February</v>
      </c>
      <c r="T306" s="4">
        <f t="shared" si="19"/>
        <v>651</v>
      </c>
      <c r="U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row>
    <row r="307" spans="1:53" ht="19.95" customHeight="1">
      <c r="A307" s="4">
        <v>306</v>
      </c>
      <c r="B307" s="4" t="s">
        <v>954</v>
      </c>
      <c r="C307" s="4" t="s">
        <v>20</v>
      </c>
      <c r="D307" s="4" t="s">
        <v>21</v>
      </c>
      <c r="E307" s="4" t="s">
        <v>455</v>
      </c>
      <c r="F307" s="4" t="s">
        <v>23</v>
      </c>
      <c r="G307" s="4" t="s">
        <v>24</v>
      </c>
      <c r="H307" s="4" t="s">
        <v>25</v>
      </c>
      <c r="I307" s="4" t="s">
        <v>955</v>
      </c>
      <c r="J307" s="4" t="s">
        <v>956</v>
      </c>
      <c r="K307" s="5">
        <v>44911</v>
      </c>
      <c r="L307" s="5">
        <v>45026</v>
      </c>
      <c r="M307" s="5">
        <v>45026</v>
      </c>
      <c r="N307" s="6">
        <f t="shared" si="20"/>
        <v>0</v>
      </c>
      <c r="O307" s="4" t="s">
        <v>28</v>
      </c>
      <c r="P307" s="4">
        <v>8800</v>
      </c>
      <c r="Q307" s="4"/>
      <c r="R307" s="4" t="str">
        <f t="shared" si="17"/>
        <v>2023</v>
      </c>
      <c r="S307" s="4" t="str">
        <f t="shared" si="18"/>
        <v>April</v>
      </c>
      <c r="T307" s="4">
        <f t="shared" si="19"/>
        <v>8800</v>
      </c>
      <c r="U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row>
    <row r="308" spans="1:53" ht="19.95" customHeight="1">
      <c r="A308" s="4">
        <v>307</v>
      </c>
      <c r="B308" s="4" t="s">
        <v>957</v>
      </c>
      <c r="C308" s="4" t="s">
        <v>20</v>
      </c>
      <c r="D308" s="4" t="s">
        <v>21</v>
      </c>
      <c r="E308" s="4" t="s">
        <v>455</v>
      </c>
      <c r="F308" s="4" t="s">
        <v>23</v>
      </c>
      <c r="G308" s="4" t="s">
        <v>24</v>
      </c>
      <c r="H308" s="4" t="s">
        <v>958</v>
      </c>
      <c r="I308" s="4" t="s">
        <v>959</v>
      </c>
      <c r="J308" s="4" t="s">
        <v>960</v>
      </c>
      <c r="K308" s="5">
        <v>44911</v>
      </c>
      <c r="L308" s="5">
        <v>44917</v>
      </c>
      <c r="M308" s="5">
        <v>44925</v>
      </c>
      <c r="N308" s="6">
        <f t="shared" si="20"/>
        <v>8</v>
      </c>
      <c r="O308" s="4" t="s">
        <v>28</v>
      </c>
      <c r="P308" s="4">
        <v>747</v>
      </c>
      <c r="Q308" s="4"/>
      <c r="R308" s="4" t="str">
        <f t="shared" si="17"/>
        <v>2022</v>
      </c>
      <c r="S308" s="4" t="str">
        <f t="shared" si="18"/>
        <v>December</v>
      </c>
      <c r="T308" s="4">
        <f t="shared" si="19"/>
        <v>747</v>
      </c>
      <c r="U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row>
    <row r="309" spans="1:53" ht="19.95" customHeight="1">
      <c r="A309" s="4">
        <v>308</v>
      </c>
      <c r="B309" s="4" t="s">
        <v>961</v>
      </c>
      <c r="C309" s="4" t="s">
        <v>65</v>
      </c>
      <c r="D309" s="4" t="s">
        <v>75</v>
      </c>
      <c r="E309" s="4" t="s">
        <v>672</v>
      </c>
      <c r="F309" s="4" t="s">
        <v>43</v>
      </c>
      <c r="G309" s="4" t="s">
        <v>24</v>
      </c>
      <c r="H309" s="4" t="s">
        <v>44</v>
      </c>
      <c r="I309" s="4" t="s">
        <v>962</v>
      </c>
      <c r="J309" s="4" t="s">
        <v>963</v>
      </c>
      <c r="K309" s="5">
        <v>44910</v>
      </c>
      <c r="L309" s="5">
        <v>44929</v>
      </c>
      <c r="M309" s="5">
        <v>44943</v>
      </c>
      <c r="N309" s="6">
        <f t="shared" si="20"/>
        <v>14</v>
      </c>
      <c r="O309" s="4" t="s">
        <v>28</v>
      </c>
      <c r="P309" s="4">
        <v>6928.42</v>
      </c>
      <c r="Q309" s="4"/>
      <c r="R309" s="4" t="str">
        <f t="shared" si="17"/>
        <v>2023</v>
      </c>
      <c r="S309" s="4" t="str">
        <f t="shared" si="18"/>
        <v>January</v>
      </c>
      <c r="T309" s="4">
        <f t="shared" si="19"/>
        <v>6928.42</v>
      </c>
      <c r="U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row>
    <row r="310" spans="1:53" ht="19.95" customHeight="1">
      <c r="A310" s="4">
        <v>309</v>
      </c>
      <c r="B310" s="4" t="s">
        <v>964</v>
      </c>
      <c r="C310" s="4" t="s">
        <v>65</v>
      </c>
      <c r="D310" s="4" t="s">
        <v>56</v>
      </c>
      <c r="E310" s="4" t="s">
        <v>672</v>
      </c>
      <c r="F310" s="4" t="s">
        <v>43</v>
      </c>
      <c r="G310" s="4" t="s">
        <v>24</v>
      </c>
      <c r="H310" s="4" t="s">
        <v>44</v>
      </c>
      <c r="I310" s="4" t="s">
        <v>965</v>
      </c>
      <c r="J310" s="4" t="s">
        <v>966</v>
      </c>
      <c r="K310" s="5">
        <v>44909</v>
      </c>
      <c r="L310" s="5">
        <v>44942</v>
      </c>
      <c r="M310" s="5">
        <v>44946</v>
      </c>
      <c r="N310" s="6">
        <f t="shared" si="20"/>
        <v>4</v>
      </c>
      <c r="O310" s="4" t="s">
        <v>28</v>
      </c>
      <c r="P310" s="4">
        <v>4553.6400000000003</v>
      </c>
      <c r="Q310" s="4"/>
      <c r="R310" s="4" t="str">
        <f t="shared" si="17"/>
        <v>2023</v>
      </c>
      <c r="S310" s="4" t="str">
        <f t="shared" si="18"/>
        <v>January</v>
      </c>
      <c r="T310" s="4">
        <f t="shared" si="19"/>
        <v>4553.6400000000003</v>
      </c>
      <c r="U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row>
    <row r="311" spans="1:53" ht="19.95" customHeight="1">
      <c r="A311" s="4">
        <v>310</v>
      </c>
      <c r="B311" s="4" t="s">
        <v>967</v>
      </c>
      <c r="C311" s="4" t="s">
        <v>20</v>
      </c>
      <c r="D311" s="4" t="s">
        <v>56</v>
      </c>
      <c r="E311" s="4" t="s">
        <v>39</v>
      </c>
      <c r="F311" s="4" t="s">
        <v>23</v>
      </c>
      <c r="G311" s="4" t="s">
        <v>24</v>
      </c>
      <c r="H311" s="4" t="s">
        <v>25</v>
      </c>
      <c r="I311" s="4" t="s">
        <v>968</v>
      </c>
      <c r="J311" s="4" t="s">
        <v>969</v>
      </c>
      <c r="K311" s="5">
        <v>44908</v>
      </c>
      <c r="L311" s="5">
        <v>44923</v>
      </c>
      <c r="M311" s="5">
        <v>44935</v>
      </c>
      <c r="N311" s="6">
        <f t="shared" si="20"/>
        <v>12</v>
      </c>
      <c r="O311" s="4" t="s">
        <v>28</v>
      </c>
      <c r="P311" s="4">
        <v>11849.93</v>
      </c>
      <c r="Q311" s="4"/>
      <c r="R311" s="4" t="str">
        <f t="shared" si="17"/>
        <v>2022</v>
      </c>
      <c r="S311" s="4" t="str">
        <f t="shared" si="18"/>
        <v>December</v>
      </c>
      <c r="T311" s="4">
        <f t="shared" si="19"/>
        <v>11849.93</v>
      </c>
      <c r="U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row>
    <row r="312" spans="1:53" ht="19.95" customHeight="1">
      <c r="A312" s="4">
        <v>311</v>
      </c>
      <c r="B312" s="4" t="s">
        <v>970</v>
      </c>
      <c r="C312" s="4" t="s">
        <v>20</v>
      </c>
      <c r="D312" s="4" t="s">
        <v>21</v>
      </c>
      <c r="E312" s="4" t="s">
        <v>39</v>
      </c>
      <c r="F312" s="4" t="s">
        <v>23</v>
      </c>
      <c r="G312" s="4" t="s">
        <v>24</v>
      </c>
      <c r="H312" s="4" t="s">
        <v>25</v>
      </c>
      <c r="I312" s="4" t="s">
        <v>971</v>
      </c>
      <c r="J312" s="4" t="s">
        <v>972</v>
      </c>
      <c r="K312" s="5">
        <v>44908</v>
      </c>
      <c r="L312" s="5">
        <v>44913</v>
      </c>
      <c r="M312" s="5">
        <v>44926</v>
      </c>
      <c r="N312" s="6">
        <f t="shared" si="20"/>
        <v>13</v>
      </c>
      <c r="O312" s="4" t="s">
        <v>28</v>
      </c>
      <c r="P312" s="4">
        <v>1131</v>
      </c>
      <c r="Q312" s="4"/>
      <c r="R312" s="4" t="str">
        <f t="shared" si="17"/>
        <v>2022</v>
      </c>
      <c r="S312" s="4" t="str">
        <f t="shared" si="18"/>
        <v>December</v>
      </c>
      <c r="T312" s="4">
        <f t="shared" si="19"/>
        <v>1131</v>
      </c>
      <c r="U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row>
    <row r="313" spans="1:53" ht="19.95" customHeight="1">
      <c r="A313" s="4">
        <v>312</v>
      </c>
      <c r="B313" s="4" t="s">
        <v>973</v>
      </c>
      <c r="C313" s="4" t="s">
        <v>20</v>
      </c>
      <c r="D313" s="4" t="s">
        <v>21</v>
      </c>
      <c r="E313" s="4" t="s">
        <v>76</v>
      </c>
      <c r="F313" s="4" t="s">
        <v>48</v>
      </c>
      <c r="G313" s="4" t="s">
        <v>24</v>
      </c>
      <c r="H313" s="4" t="s">
        <v>49</v>
      </c>
      <c r="I313" s="4" t="s">
        <v>974</v>
      </c>
      <c r="J313" s="4" t="s">
        <v>975</v>
      </c>
      <c r="K313" s="5">
        <v>44907</v>
      </c>
      <c r="L313" s="5">
        <v>44935</v>
      </c>
      <c r="M313" s="5">
        <v>44949</v>
      </c>
      <c r="N313" s="6">
        <f t="shared" si="20"/>
        <v>14</v>
      </c>
      <c r="O313" s="4" t="s">
        <v>28</v>
      </c>
      <c r="P313" s="4">
        <v>5005.0200000000004</v>
      </c>
      <c r="Q313" s="4"/>
      <c r="R313" s="4" t="str">
        <f t="shared" si="17"/>
        <v>2023</v>
      </c>
      <c r="S313" s="4" t="str">
        <f t="shared" si="18"/>
        <v>January</v>
      </c>
      <c r="T313" s="4">
        <f t="shared" si="19"/>
        <v>5005.0200000000004</v>
      </c>
      <c r="U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row>
    <row r="314" spans="1:53" ht="19.95" customHeight="1">
      <c r="A314" s="4">
        <v>313</v>
      </c>
      <c r="B314" s="4" t="s">
        <v>976</v>
      </c>
      <c r="C314" s="4" t="s">
        <v>20</v>
      </c>
      <c r="D314" s="4" t="s">
        <v>21</v>
      </c>
      <c r="E314" s="4" t="s">
        <v>672</v>
      </c>
      <c r="F314" s="4" t="s">
        <v>23</v>
      </c>
      <c r="G314" s="4" t="s">
        <v>24</v>
      </c>
      <c r="H314" s="4" t="s">
        <v>25</v>
      </c>
      <c r="I314" s="4" t="s">
        <v>977</v>
      </c>
      <c r="J314" s="4" t="s">
        <v>978</v>
      </c>
      <c r="K314" s="5">
        <v>44904</v>
      </c>
      <c r="L314" s="5">
        <v>45010</v>
      </c>
      <c r="M314" s="5">
        <v>45025</v>
      </c>
      <c r="N314" s="6">
        <f t="shared" si="20"/>
        <v>15</v>
      </c>
      <c r="O314" s="4" t="s">
        <v>28</v>
      </c>
      <c r="P314" s="4">
        <v>9531.9500000000007</v>
      </c>
      <c r="Q314" s="4"/>
      <c r="R314" s="4" t="str">
        <f t="shared" si="17"/>
        <v>2023</v>
      </c>
      <c r="S314" s="4" t="str">
        <f t="shared" si="18"/>
        <v>March</v>
      </c>
      <c r="T314" s="4">
        <f t="shared" si="19"/>
        <v>9531.9500000000007</v>
      </c>
      <c r="U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row>
    <row r="315" spans="1:53" ht="19.95" customHeight="1">
      <c r="A315" s="4">
        <v>314</v>
      </c>
      <c r="B315" s="4" t="s">
        <v>979</v>
      </c>
      <c r="C315" s="4" t="s">
        <v>20</v>
      </c>
      <c r="D315" s="4" t="s">
        <v>21</v>
      </c>
      <c r="E315" s="4" t="s">
        <v>455</v>
      </c>
      <c r="F315" s="4" t="s">
        <v>57</v>
      </c>
      <c r="G315" s="4" t="s">
        <v>24</v>
      </c>
      <c r="H315" s="4" t="s">
        <v>58</v>
      </c>
      <c r="I315" s="4" t="s">
        <v>980</v>
      </c>
      <c r="J315" s="4" t="s">
        <v>981</v>
      </c>
      <c r="K315" s="5">
        <v>44904</v>
      </c>
      <c r="L315" s="5">
        <v>45014</v>
      </c>
      <c r="M315" s="5">
        <v>45030</v>
      </c>
      <c r="N315" s="6">
        <f t="shared" si="20"/>
        <v>16</v>
      </c>
      <c r="O315" s="4" t="s">
        <v>28</v>
      </c>
      <c r="P315" s="4">
        <v>20229.64</v>
      </c>
      <c r="Q315" s="4"/>
      <c r="R315" s="4" t="str">
        <f t="shared" si="17"/>
        <v>2023</v>
      </c>
      <c r="S315" s="4" t="str">
        <f t="shared" si="18"/>
        <v>March</v>
      </c>
      <c r="T315" s="4">
        <f t="shared" si="19"/>
        <v>20229.64</v>
      </c>
      <c r="U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row>
    <row r="316" spans="1:53" ht="19.95" customHeight="1">
      <c r="A316" s="4">
        <v>315</v>
      </c>
      <c r="B316" s="4" t="s">
        <v>982</v>
      </c>
      <c r="C316" s="4" t="s">
        <v>65</v>
      </c>
      <c r="D316" s="4" t="s">
        <v>56</v>
      </c>
      <c r="E316" s="4" t="s">
        <v>983</v>
      </c>
      <c r="F316" s="4" t="s">
        <v>23</v>
      </c>
      <c r="G316" s="4" t="s">
        <v>24</v>
      </c>
      <c r="H316" s="4" t="s">
        <v>25</v>
      </c>
      <c r="I316" s="4" t="s">
        <v>984</v>
      </c>
      <c r="J316" s="4" t="s">
        <v>337</v>
      </c>
      <c r="K316" s="5">
        <v>44909</v>
      </c>
      <c r="L316" s="5">
        <v>45157</v>
      </c>
      <c r="M316" s="5">
        <v>45176</v>
      </c>
      <c r="N316" s="6">
        <f t="shared" si="20"/>
        <v>19</v>
      </c>
      <c r="O316" s="4" t="s">
        <v>28</v>
      </c>
      <c r="P316" s="4">
        <v>32507.75</v>
      </c>
      <c r="Q316" s="4"/>
      <c r="R316" s="4" t="str">
        <f t="shared" si="17"/>
        <v>2023</v>
      </c>
      <c r="S316" s="4" t="str">
        <f t="shared" si="18"/>
        <v>August</v>
      </c>
      <c r="T316" s="4">
        <f t="shared" si="19"/>
        <v>32507.75</v>
      </c>
      <c r="U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row>
    <row r="317" spans="1:53" ht="19.95" customHeight="1">
      <c r="A317" s="4">
        <v>316</v>
      </c>
      <c r="B317" s="4" t="s">
        <v>985</v>
      </c>
      <c r="C317" s="4" t="s">
        <v>20</v>
      </c>
      <c r="D317" s="4" t="s">
        <v>21</v>
      </c>
      <c r="E317" s="4" t="s">
        <v>39</v>
      </c>
      <c r="F317" s="4" t="s">
        <v>23</v>
      </c>
      <c r="G317" s="4" t="s">
        <v>24</v>
      </c>
      <c r="H317" s="4" t="s">
        <v>25</v>
      </c>
      <c r="I317" s="4" t="s">
        <v>986</v>
      </c>
      <c r="J317" s="4" t="s">
        <v>987</v>
      </c>
      <c r="K317" s="5">
        <v>44901</v>
      </c>
      <c r="L317" s="5">
        <v>44910</v>
      </c>
      <c r="M317" s="5">
        <v>44918</v>
      </c>
      <c r="N317" s="6">
        <f t="shared" si="20"/>
        <v>8</v>
      </c>
      <c r="O317" s="4" t="s">
        <v>28</v>
      </c>
      <c r="P317" s="4">
        <v>16623.23</v>
      </c>
      <c r="Q317" s="4"/>
      <c r="R317" s="4" t="str">
        <f t="shared" si="17"/>
        <v>2022</v>
      </c>
      <c r="S317" s="4" t="str">
        <f t="shared" si="18"/>
        <v>December</v>
      </c>
      <c r="T317" s="4">
        <f t="shared" si="19"/>
        <v>16623.23</v>
      </c>
      <c r="U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row>
    <row r="318" spans="1:53" ht="19.95" customHeight="1">
      <c r="A318" s="4">
        <v>317</v>
      </c>
      <c r="B318" s="4" t="s">
        <v>988</v>
      </c>
      <c r="C318" s="4" t="s">
        <v>65</v>
      </c>
      <c r="D318" s="4" t="s">
        <v>21</v>
      </c>
      <c r="E318" s="4" t="s">
        <v>455</v>
      </c>
      <c r="F318" s="4" t="s">
        <v>116</v>
      </c>
      <c r="G318" s="4" t="s">
        <v>24</v>
      </c>
      <c r="H318" s="4" t="s">
        <v>117</v>
      </c>
      <c r="I318" s="4" t="s">
        <v>989</v>
      </c>
      <c r="J318" s="4" t="s">
        <v>990</v>
      </c>
      <c r="K318" s="5">
        <v>44892</v>
      </c>
      <c r="L318" s="5">
        <v>44918</v>
      </c>
      <c r="M318" s="5">
        <v>44925</v>
      </c>
      <c r="N318" s="6">
        <f t="shared" si="20"/>
        <v>7</v>
      </c>
      <c r="O318" s="4" t="s">
        <v>28</v>
      </c>
      <c r="P318" s="4">
        <v>17372.240000000002</v>
      </c>
      <c r="Q318" s="4"/>
      <c r="R318" s="4" t="str">
        <f t="shared" si="17"/>
        <v>2022</v>
      </c>
      <c r="S318" s="4" t="str">
        <f t="shared" si="18"/>
        <v>December</v>
      </c>
      <c r="T318" s="4">
        <f t="shared" si="19"/>
        <v>17372.240000000002</v>
      </c>
      <c r="U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row>
    <row r="319" spans="1:53" ht="19.95" customHeight="1">
      <c r="A319" s="4">
        <v>318</v>
      </c>
      <c r="B319" s="4" t="s">
        <v>991</v>
      </c>
      <c r="C319" s="4" t="s">
        <v>20</v>
      </c>
      <c r="D319" s="4" t="s">
        <v>21</v>
      </c>
      <c r="E319" s="4" t="s">
        <v>455</v>
      </c>
      <c r="F319" s="4" t="s">
        <v>776</v>
      </c>
      <c r="G319" s="4" t="s">
        <v>24</v>
      </c>
      <c r="H319" s="4" t="s">
        <v>992</v>
      </c>
      <c r="I319" s="4" t="s">
        <v>993</v>
      </c>
      <c r="J319" s="4" t="s">
        <v>994</v>
      </c>
      <c r="K319" s="5">
        <v>44892</v>
      </c>
      <c r="L319" s="5">
        <v>44918</v>
      </c>
      <c r="M319" s="5">
        <v>44926</v>
      </c>
      <c r="N319" s="6">
        <f t="shared" si="20"/>
        <v>8</v>
      </c>
      <c r="O319" s="4" t="s">
        <v>28</v>
      </c>
      <c r="P319" s="4">
        <v>8888.07</v>
      </c>
      <c r="Q319" s="4"/>
      <c r="R319" s="4" t="str">
        <f t="shared" si="17"/>
        <v>2022</v>
      </c>
      <c r="S319" s="4" t="str">
        <f t="shared" si="18"/>
        <v>December</v>
      </c>
      <c r="T319" s="4">
        <f t="shared" si="19"/>
        <v>8888.07</v>
      </c>
      <c r="U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row>
    <row r="320" spans="1:53" ht="19.95" customHeight="1">
      <c r="A320" s="4">
        <v>319</v>
      </c>
      <c r="B320" s="4" t="s">
        <v>995</v>
      </c>
      <c r="C320" s="4" t="s">
        <v>20</v>
      </c>
      <c r="D320" s="4" t="s">
        <v>21</v>
      </c>
      <c r="E320" s="4" t="s">
        <v>455</v>
      </c>
      <c r="F320" s="4" t="s">
        <v>23</v>
      </c>
      <c r="G320" s="4" t="s">
        <v>24</v>
      </c>
      <c r="H320" s="4" t="s">
        <v>25</v>
      </c>
      <c r="I320" s="4" t="s">
        <v>996</v>
      </c>
      <c r="J320" s="4" t="s">
        <v>997</v>
      </c>
      <c r="K320" s="5">
        <v>44892</v>
      </c>
      <c r="L320" s="5">
        <v>44912</v>
      </c>
      <c r="M320" s="5">
        <v>44919</v>
      </c>
      <c r="N320" s="6">
        <f t="shared" si="20"/>
        <v>7</v>
      </c>
      <c r="O320" s="4" t="s">
        <v>28</v>
      </c>
      <c r="P320" s="4">
        <v>4983.2700000000004</v>
      </c>
      <c r="Q320" s="4"/>
      <c r="R320" s="4" t="str">
        <f t="shared" si="17"/>
        <v>2022</v>
      </c>
      <c r="S320" s="4" t="str">
        <f t="shared" si="18"/>
        <v>December</v>
      </c>
      <c r="T320" s="4">
        <f t="shared" si="19"/>
        <v>4983.2700000000004</v>
      </c>
      <c r="U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row>
    <row r="321" spans="1:53" ht="19.95" customHeight="1">
      <c r="A321" s="4">
        <v>320</v>
      </c>
      <c r="B321" s="4" t="s">
        <v>998</v>
      </c>
      <c r="C321" s="4" t="s">
        <v>20</v>
      </c>
      <c r="D321" s="4" t="s">
        <v>56</v>
      </c>
      <c r="E321" s="4" t="s">
        <v>455</v>
      </c>
      <c r="F321" s="4" t="s">
        <v>23</v>
      </c>
      <c r="G321" s="4" t="s">
        <v>24</v>
      </c>
      <c r="H321" s="4" t="s">
        <v>25</v>
      </c>
      <c r="I321" s="4" t="s">
        <v>999</v>
      </c>
      <c r="J321" s="4" t="s">
        <v>1000</v>
      </c>
      <c r="K321" s="5">
        <v>44891</v>
      </c>
      <c r="L321" s="5">
        <v>44976</v>
      </c>
      <c r="M321" s="5">
        <v>44992</v>
      </c>
      <c r="N321" s="6">
        <f t="shared" ref="N321:N352" si="21">M321-L321</f>
        <v>16</v>
      </c>
      <c r="O321" s="4" t="s">
        <v>28</v>
      </c>
      <c r="P321" s="4">
        <v>8297.64</v>
      </c>
      <c r="Q321" s="4"/>
      <c r="R321" s="4" t="str">
        <f t="shared" si="17"/>
        <v>2023</v>
      </c>
      <c r="S321" s="4" t="str">
        <f t="shared" si="18"/>
        <v>February</v>
      </c>
      <c r="T321" s="4">
        <f t="shared" si="19"/>
        <v>8297.64</v>
      </c>
      <c r="U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row>
    <row r="322" spans="1:53" ht="19.95" customHeight="1">
      <c r="A322" s="4">
        <v>321</v>
      </c>
      <c r="B322" s="4" t="s">
        <v>1001</v>
      </c>
      <c r="C322" s="4" t="s">
        <v>20</v>
      </c>
      <c r="D322" s="4" t="s">
        <v>21</v>
      </c>
      <c r="E322" s="4" t="s">
        <v>455</v>
      </c>
      <c r="F322" s="4" t="s">
        <v>23</v>
      </c>
      <c r="G322" s="4" t="s">
        <v>24</v>
      </c>
      <c r="H322" s="4" t="s">
        <v>25</v>
      </c>
      <c r="I322" s="4" t="s">
        <v>1002</v>
      </c>
      <c r="J322" s="4" t="s">
        <v>1003</v>
      </c>
      <c r="K322" s="5">
        <v>44888</v>
      </c>
      <c r="L322" s="5">
        <v>44941</v>
      </c>
      <c r="M322" s="5">
        <v>44954</v>
      </c>
      <c r="N322" s="6">
        <f t="shared" si="21"/>
        <v>13</v>
      </c>
      <c r="O322" s="4" t="s">
        <v>28</v>
      </c>
      <c r="P322" s="4">
        <v>14450.27</v>
      </c>
      <c r="Q322" s="4"/>
      <c r="R322" s="4" t="str">
        <f t="shared" ref="R322:R385" si="22">TEXT(L322,"YYY")</f>
        <v>2023</v>
      </c>
      <c r="S322" s="4" t="str">
        <f t="shared" ref="S322:S385" si="23">TEXT(L322,"MMMM")</f>
        <v>January</v>
      </c>
      <c r="T322" s="4">
        <f t="shared" ref="T322:T385" si="24">P322</f>
        <v>14450.27</v>
      </c>
      <c r="U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row>
    <row r="323" spans="1:53" ht="19.95" customHeight="1">
      <c r="A323" s="4">
        <v>322</v>
      </c>
      <c r="B323" s="4" t="s">
        <v>1004</v>
      </c>
      <c r="C323" s="4" t="s">
        <v>65</v>
      </c>
      <c r="D323" s="4" t="s">
        <v>56</v>
      </c>
      <c r="E323" s="4" t="s">
        <v>672</v>
      </c>
      <c r="F323" s="4" t="s">
        <v>23</v>
      </c>
      <c r="G323" s="4" t="s">
        <v>24</v>
      </c>
      <c r="H323" s="4" t="s">
        <v>25</v>
      </c>
      <c r="I323" s="4" t="s">
        <v>1005</v>
      </c>
      <c r="J323" s="4"/>
      <c r="K323" s="5">
        <v>44888</v>
      </c>
      <c r="L323" s="5">
        <v>44889</v>
      </c>
      <c r="M323" s="5">
        <v>44898</v>
      </c>
      <c r="N323" s="6">
        <f t="shared" si="21"/>
        <v>9</v>
      </c>
      <c r="O323" s="4" t="s">
        <v>28</v>
      </c>
      <c r="P323" s="4">
        <v>4360.7</v>
      </c>
      <c r="Q323" s="4"/>
      <c r="R323" s="4" t="str">
        <f t="shared" si="22"/>
        <v>2022</v>
      </c>
      <c r="S323" s="4" t="str">
        <f t="shared" si="23"/>
        <v>November</v>
      </c>
      <c r="T323" s="4">
        <f t="shared" si="24"/>
        <v>4360.7</v>
      </c>
      <c r="U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row>
    <row r="324" spans="1:53" ht="19.95" customHeight="1">
      <c r="A324" s="4">
        <v>323</v>
      </c>
      <c r="B324" s="4" t="s">
        <v>1006</v>
      </c>
      <c r="C324" s="4" t="s">
        <v>20</v>
      </c>
      <c r="D324" s="4" t="s">
        <v>21</v>
      </c>
      <c r="E324" s="4" t="s">
        <v>455</v>
      </c>
      <c r="F324" s="4" t="s">
        <v>722</v>
      </c>
      <c r="G324" s="4" t="s">
        <v>24</v>
      </c>
      <c r="H324" s="4" t="s">
        <v>44</v>
      </c>
      <c r="I324" s="4" t="s">
        <v>1007</v>
      </c>
      <c r="J324" s="4" t="s">
        <v>1008</v>
      </c>
      <c r="K324" s="5">
        <v>44888</v>
      </c>
      <c r="L324" s="5">
        <v>44905</v>
      </c>
      <c r="M324" s="5">
        <v>44905</v>
      </c>
      <c r="N324" s="6">
        <f t="shared" si="21"/>
        <v>0</v>
      </c>
      <c r="O324" s="4" t="s">
        <v>28</v>
      </c>
      <c r="P324" s="4">
        <v>3075.88</v>
      </c>
      <c r="Q324" s="4"/>
      <c r="R324" s="4" t="str">
        <f t="shared" si="22"/>
        <v>2022</v>
      </c>
      <c r="S324" s="4" t="str">
        <f t="shared" si="23"/>
        <v>December</v>
      </c>
      <c r="T324" s="4">
        <f t="shared" si="24"/>
        <v>3075.88</v>
      </c>
      <c r="U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row>
    <row r="325" spans="1:53" ht="19.95" customHeight="1">
      <c r="A325" s="4">
        <v>324</v>
      </c>
      <c r="B325" s="4" t="s">
        <v>1009</v>
      </c>
      <c r="C325" s="4" t="s">
        <v>65</v>
      </c>
      <c r="D325" s="4" t="s">
        <v>21</v>
      </c>
      <c r="E325" s="4" t="s">
        <v>672</v>
      </c>
      <c r="F325" s="4" t="s">
        <v>223</v>
      </c>
      <c r="G325" s="4" t="s">
        <v>24</v>
      </c>
      <c r="H325" s="4" t="s">
        <v>224</v>
      </c>
      <c r="I325" s="4" t="s">
        <v>1010</v>
      </c>
      <c r="J325" s="4" t="s">
        <v>1011</v>
      </c>
      <c r="K325" s="5">
        <v>44887</v>
      </c>
      <c r="L325" s="5">
        <v>44896</v>
      </c>
      <c r="M325" s="5">
        <v>44902</v>
      </c>
      <c r="N325" s="6">
        <f t="shared" si="21"/>
        <v>6</v>
      </c>
      <c r="O325" s="4" t="s">
        <v>28</v>
      </c>
      <c r="P325" s="4">
        <v>2222.2199999999998</v>
      </c>
      <c r="Q325" s="4"/>
      <c r="R325" s="4" t="str">
        <f t="shared" si="22"/>
        <v>2022</v>
      </c>
      <c r="S325" s="4" t="str">
        <f t="shared" si="23"/>
        <v>December</v>
      </c>
      <c r="T325" s="4">
        <f t="shared" si="24"/>
        <v>2222.2199999999998</v>
      </c>
      <c r="U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row>
    <row r="326" spans="1:53" ht="19.95" customHeight="1">
      <c r="A326" s="4">
        <v>325</v>
      </c>
      <c r="B326" s="4" t="s">
        <v>1012</v>
      </c>
      <c r="C326" s="4" t="s">
        <v>65</v>
      </c>
      <c r="D326" s="4" t="s">
        <v>56</v>
      </c>
      <c r="E326" s="4" t="s">
        <v>672</v>
      </c>
      <c r="F326" s="4" t="s">
        <v>128</v>
      </c>
      <c r="G326" s="4" t="s">
        <v>24</v>
      </c>
      <c r="H326" s="4" t="s">
        <v>129</v>
      </c>
      <c r="I326" s="4" t="s">
        <v>1013</v>
      </c>
      <c r="J326" s="4"/>
      <c r="K326" s="5">
        <v>44905</v>
      </c>
      <c r="L326" s="5">
        <v>44905</v>
      </c>
      <c r="M326" s="5">
        <v>44905</v>
      </c>
      <c r="N326" s="6">
        <f t="shared" si="21"/>
        <v>0</v>
      </c>
      <c r="O326" s="4" t="s">
        <v>28</v>
      </c>
      <c r="P326" s="4">
        <v>1215</v>
      </c>
      <c r="Q326" s="4"/>
      <c r="R326" s="4" t="str">
        <f t="shared" si="22"/>
        <v>2022</v>
      </c>
      <c r="S326" s="4" t="str">
        <f t="shared" si="23"/>
        <v>December</v>
      </c>
      <c r="T326" s="4">
        <f t="shared" si="24"/>
        <v>1215</v>
      </c>
      <c r="U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row>
    <row r="327" spans="1:53" ht="19.95" customHeight="1">
      <c r="A327" s="4">
        <v>326</v>
      </c>
      <c r="B327" s="4" t="s">
        <v>1014</v>
      </c>
      <c r="C327" s="4" t="s">
        <v>65</v>
      </c>
      <c r="D327" s="4" t="s">
        <v>56</v>
      </c>
      <c r="E327" s="4" t="s">
        <v>672</v>
      </c>
      <c r="F327" s="4" t="s">
        <v>128</v>
      </c>
      <c r="G327" s="4" t="s">
        <v>24</v>
      </c>
      <c r="H327" s="4" t="s">
        <v>129</v>
      </c>
      <c r="I327" s="4" t="s">
        <v>1013</v>
      </c>
      <c r="J327" s="4"/>
      <c r="K327" s="5">
        <v>44886</v>
      </c>
      <c r="L327" s="5">
        <v>44898</v>
      </c>
      <c r="M327" s="5">
        <v>44907</v>
      </c>
      <c r="N327" s="6">
        <f t="shared" si="21"/>
        <v>9</v>
      </c>
      <c r="O327" s="4" t="s">
        <v>28</v>
      </c>
      <c r="P327" s="4">
        <v>10464.799999999999</v>
      </c>
      <c r="Q327" s="4"/>
      <c r="R327" s="4" t="str">
        <f t="shared" si="22"/>
        <v>2022</v>
      </c>
      <c r="S327" s="4" t="str">
        <f t="shared" si="23"/>
        <v>December</v>
      </c>
      <c r="T327" s="4">
        <f t="shared" si="24"/>
        <v>10464.799999999999</v>
      </c>
      <c r="U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row>
    <row r="328" spans="1:53" ht="19.95" customHeight="1">
      <c r="A328" s="4">
        <v>327</v>
      </c>
      <c r="B328" s="4" t="s">
        <v>1015</v>
      </c>
      <c r="C328" s="4" t="s">
        <v>20</v>
      </c>
      <c r="D328" s="4" t="s">
        <v>21</v>
      </c>
      <c r="E328" s="4" t="s">
        <v>39</v>
      </c>
      <c r="F328" s="4" t="s">
        <v>23</v>
      </c>
      <c r="G328" s="4" t="s">
        <v>24</v>
      </c>
      <c r="H328" s="4" t="s">
        <v>25</v>
      </c>
      <c r="I328" s="4" t="s">
        <v>1016</v>
      </c>
      <c r="J328" s="4" t="s">
        <v>1017</v>
      </c>
      <c r="K328" s="5">
        <v>44884</v>
      </c>
      <c r="L328" s="5">
        <v>45115</v>
      </c>
      <c r="M328" s="5">
        <v>45144</v>
      </c>
      <c r="N328" s="6">
        <f t="shared" si="21"/>
        <v>29</v>
      </c>
      <c r="O328" s="4" t="s">
        <v>28</v>
      </c>
      <c r="P328" s="4">
        <v>23574.76</v>
      </c>
      <c r="Q328" s="4"/>
      <c r="R328" s="4" t="str">
        <f t="shared" si="22"/>
        <v>2023</v>
      </c>
      <c r="S328" s="4" t="str">
        <f t="shared" si="23"/>
        <v>July</v>
      </c>
      <c r="T328" s="4">
        <f t="shared" si="24"/>
        <v>23574.76</v>
      </c>
      <c r="U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row>
    <row r="329" spans="1:53" ht="19.95" customHeight="1">
      <c r="A329" s="4">
        <v>328</v>
      </c>
      <c r="B329" s="4" t="s">
        <v>1018</v>
      </c>
      <c r="C329" s="4" t="s">
        <v>65</v>
      </c>
      <c r="D329" s="4" t="s">
        <v>38</v>
      </c>
      <c r="E329" s="4" t="s">
        <v>672</v>
      </c>
      <c r="F329" s="4" t="s">
        <v>128</v>
      </c>
      <c r="G329" s="4" t="s">
        <v>24</v>
      </c>
      <c r="H329" s="4" t="s">
        <v>200</v>
      </c>
      <c r="I329" s="4" t="s">
        <v>1013</v>
      </c>
      <c r="J329" s="4"/>
      <c r="K329" s="5">
        <v>44883</v>
      </c>
      <c r="L329" s="5">
        <v>44897</v>
      </c>
      <c r="M329" s="5">
        <v>44899</v>
      </c>
      <c r="N329" s="6">
        <f t="shared" si="21"/>
        <v>2</v>
      </c>
      <c r="O329" s="4" t="s">
        <v>28</v>
      </c>
      <c r="P329" s="4">
        <v>2592</v>
      </c>
      <c r="Q329" s="4"/>
      <c r="R329" s="4" t="str">
        <f t="shared" si="22"/>
        <v>2022</v>
      </c>
      <c r="S329" s="4" t="str">
        <f t="shared" si="23"/>
        <v>December</v>
      </c>
      <c r="T329" s="4">
        <f t="shared" si="24"/>
        <v>2592</v>
      </c>
      <c r="U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row>
    <row r="330" spans="1:53" ht="19.95" customHeight="1">
      <c r="A330" s="4">
        <v>329</v>
      </c>
      <c r="B330" s="4" t="s">
        <v>1019</v>
      </c>
      <c r="C330" s="4" t="s">
        <v>20</v>
      </c>
      <c r="D330" s="4" t="s">
        <v>21</v>
      </c>
      <c r="E330" s="4" t="s">
        <v>455</v>
      </c>
      <c r="F330" s="4" t="s">
        <v>23</v>
      </c>
      <c r="G330" s="4" t="s">
        <v>24</v>
      </c>
      <c r="H330" s="4" t="s">
        <v>25</v>
      </c>
      <c r="I330" s="4" t="s">
        <v>1020</v>
      </c>
      <c r="J330" s="4" t="s">
        <v>1021</v>
      </c>
      <c r="K330" s="5">
        <v>44881</v>
      </c>
      <c r="L330" s="5">
        <v>44900</v>
      </c>
      <c r="M330" s="5">
        <v>44900</v>
      </c>
      <c r="N330" s="6">
        <f t="shared" si="21"/>
        <v>0</v>
      </c>
      <c r="O330" s="4" t="s">
        <v>28</v>
      </c>
      <c r="P330" s="4">
        <v>296.95</v>
      </c>
      <c r="Q330" s="4"/>
      <c r="R330" s="4" t="str">
        <f t="shared" si="22"/>
        <v>2022</v>
      </c>
      <c r="S330" s="4" t="str">
        <f t="shared" si="23"/>
        <v>December</v>
      </c>
      <c r="T330" s="4">
        <f t="shared" si="24"/>
        <v>296.95</v>
      </c>
      <c r="U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row>
    <row r="331" spans="1:53" ht="19.95" customHeight="1">
      <c r="A331" s="4">
        <v>330</v>
      </c>
      <c r="B331" s="4" t="s">
        <v>1022</v>
      </c>
      <c r="C331" s="4" t="s">
        <v>20</v>
      </c>
      <c r="D331" s="4" t="s">
        <v>21</v>
      </c>
      <c r="E331" s="4" t="s">
        <v>39</v>
      </c>
      <c r="F331" s="4" t="s">
        <v>23</v>
      </c>
      <c r="G331" s="4" t="s">
        <v>24</v>
      </c>
      <c r="H331" s="4" t="s">
        <v>25</v>
      </c>
      <c r="I331" s="4" t="s">
        <v>1023</v>
      </c>
      <c r="J331" s="4" t="s">
        <v>1024</v>
      </c>
      <c r="K331" s="5">
        <v>44880</v>
      </c>
      <c r="L331" s="5">
        <v>44968</v>
      </c>
      <c r="M331" s="5">
        <v>44977</v>
      </c>
      <c r="N331" s="6">
        <f t="shared" si="21"/>
        <v>9</v>
      </c>
      <c r="O331" s="4" t="s">
        <v>28</v>
      </c>
      <c r="P331" s="4">
        <v>4874.95</v>
      </c>
      <c r="Q331" s="4"/>
      <c r="R331" s="4" t="str">
        <f t="shared" si="22"/>
        <v>2023</v>
      </c>
      <c r="S331" s="4" t="str">
        <f t="shared" si="23"/>
        <v>February</v>
      </c>
      <c r="T331" s="4">
        <f t="shared" si="24"/>
        <v>4874.95</v>
      </c>
      <c r="U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row>
    <row r="332" spans="1:53" ht="19.95" customHeight="1">
      <c r="A332" s="4">
        <v>331</v>
      </c>
      <c r="B332" s="4" t="s">
        <v>1025</v>
      </c>
      <c r="C332" s="4" t="s">
        <v>20</v>
      </c>
      <c r="D332" s="4" t="s">
        <v>21</v>
      </c>
      <c r="E332" s="4" t="s">
        <v>39</v>
      </c>
      <c r="F332" s="4" t="s">
        <v>23</v>
      </c>
      <c r="G332" s="4" t="s">
        <v>24</v>
      </c>
      <c r="H332" s="4" t="s">
        <v>25</v>
      </c>
      <c r="I332" s="4" t="s">
        <v>1026</v>
      </c>
      <c r="J332" s="4" t="s">
        <v>1027</v>
      </c>
      <c r="K332" s="5">
        <v>44879</v>
      </c>
      <c r="L332" s="5">
        <v>44956</v>
      </c>
      <c r="M332" s="5">
        <v>44972</v>
      </c>
      <c r="N332" s="6">
        <f t="shared" si="21"/>
        <v>16</v>
      </c>
      <c r="O332" s="4" t="s">
        <v>28</v>
      </c>
      <c r="P332" s="4">
        <v>19386.95</v>
      </c>
      <c r="Q332" s="4"/>
      <c r="R332" s="4" t="str">
        <f t="shared" si="22"/>
        <v>2023</v>
      </c>
      <c r="S332" s="4" t="str">
        <f t="shared" si="23"/>
        <v>January</v>
      </c>
      <c r="T332" s="4">
        <f t="shared" si="24"/>
        <v>19386.95</v>
      </c>
      <c r="U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row>
    <row r="333" spans="1:53" ht="19.95" customHeight="1">
      <c r="A333" s="4">
        <v>332</v>
      </c>
      <c r="B333" s="4" t="s">
        <v>1028</v>
      </c>
      <c r="C333" s="4" t="s">
        <v>20</v>
      </c>
      <c r="D333" s="4" t="s">
        <v>56</v>
      </c>
      <c r="E333" s="4" t="s">
        <v>39</v>
      </c>
      <c r="F333" s="4" t="s">
        <v>96</v>
      </c>
      <c r="G333" s="4" t="s">
        <v>24</v>
      </c>
      <c r="H333" s="4" t="s">
        <v>97</v>
      </c>
      <c r="I333" s="4" t="s">
        <v>1029</v>
      </c>
      <c r="J333" s="4" t="s">
        <v>1030</v>
      </c>
      <c r="K333" s="5">
        <v>44879</v>
      </c>
      <c r="L333" s="5">
        <v>44922</v>
      </c>
      <c r="M333" s="5">
        <v>44931</v>
      </c>
      <c r="N333" s="6">
        <f t="shared" si="21"/>
        <v>9</v>
      </c>
      <c r="O333" s="4" t="s">
        <v>28</v>
      </c>
      <c r="P333" s="4">
        <v>4197.41</v>
      </c>
      <c r="Q333" s="4"/>
      <c r="R333" s="4" t="str">
        <f t="shared" si="22"/>
        <v>2022</v>
      </c>
      <c r="S333" s="4" t="str">
        <f t="shared" si="23"/>
        <v>December</v>
      </c>
      <c r="T333" s="4">
        <f t="shared" si="24"/>
        <v>4197.41</v>
      </c>
      <c r="U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row>
    <row r="334" spans="1:53" ht="19.95" customHeight="1">
      <c r="A334" s="4">
        <v>333</v>
      </c>
      <c r="B334" s="4" t="s">
        <v>1031</v>
      </c>
      <c r="C334" s="4" t="s">
        <v>20</v>
      </c>
      <c r="D334" s="4" t="s">
        <v>56</v>
      </c>
      <c r="E334" s="4" t="s">
        <v>39</v>
      </c>
      <c r="F334" s="4" t="s">
        <v>23</v>
      </c>
      <c r="G334" s="4" t="s">
        <v>24</v>
      </c>
      <c r="H334" s="4" t="s">
        <v>25</v>
      </c>
      <c r="I334" s="4" t="s">
        <v>1032</v>
      </c>
      <c r="J334" s="4" t="s">
        <v>1033</v>
      </c>
      <c r="K334" s="5">
        <v>44876</v>
      </c>
      <c r="L334" s="5">
        <v>45016</v>
      </c>
      <c r="M334" s="5">
        <v>45032</v>
      </c>
      <c r="N334" s="6">
        <f t="shared" si="21"/>
        <v>16</v>
      </c>
      <c r="O334" s="4" t="s">
        <v>28</v>
      </c>
      <c r="P334" s="4">
        <v>23750.1</v>
      </c>
      <c r="Q334" s="4"/>
      <c r="R334" s="4" t="str">
        <f t="shared" si="22"/>
        <v>2023</v>
      </c>
      <c r="S334" s="4" t="str">
        <f t="shared" si="23"/>
        <v>March</v>
      </c>
      <c r="T334" s="4">
        <f t="shared" si="24"/>
        <v>23750.1</v>
      </c>
      <c r="U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row>
    <row r="335" spans="1:53" ht="19.95" customHeight="1">
      <c r="A335" s="4">
        <v>334</v>
      </c>
      <c r="B335" s="4" t="s">
        <v>1034</v>
      </c>
      <c r="C335" s="4" t="s">
        <v>20</v>
      </c>
      <c r="D335" s="4" t="s">
        <v>21</v>
      </c>
      <c r="E335" s="4" t="s">
        <v>455</v>
      </c>
      <c r="F335" s="4" t="s">
        <v>223</v>
      </c>
      <c r="G335" s="4" t="s">
        <v>24</v>
      </c>
      <c r="H335" s="4" t="s">
        <v>224</v>
      </c>
      <c r="I335" s="4" t="s">
        <v>1035</v>
      </c>
      <c r="J335" s="4" t="s">
        <v>1036</v>
      </c>
      <c r="K335" s="5">
        <v>44874</v>
      </c>
      <c r="L335" s="5">
        <v>44919</v>
      </c>
      <c r="M335" s="5">
        <v>44928</v>
      </c>
      <c r="N335" s="6">
        <f t="shared" si="21"/>
        <v>9</v>
      </c>
      <c r="O335" s="4" t="s">
        <v>28</v>
      </c>
      <c r="P335" s="4">
        <v>3610.12</v>
      </c>
      <c r="Q335" s="4"/>
      <c r="R335" s="4" t="str">
        <f t="shared" si="22"/>
        <v>2022</v>
      </c>
      <c r="S335" s="4" t="str">
        <f t="shared" si="23"/>
        <v>December</v>
      </c>
      <c r="T335" s="4">
        <f t="shared" si="24"/>
        <v>3610.12</v>
      </c>
      <c r="U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row>
    <row r="336" spans="1:53" ht="19.95" customHeight="1">
      <c r="A336" s="4">
        <v>335</v>
      </c>
      <c r="B336" s="4" t="s">
        <v>1037</v>
      </c>
      <c r="C336" s="4" t="s">
        <v>20</v>
      </c>
      <c r="D336" s="4" t="s">
        <v>56</v>
      </c>
      <c r="E336" s="4" t="s">
        <v>39</v>
      </c>
      <c r="F336" s="4" t="s">
        <v>23</v>
      </c>
      <c r="G336" s="4" t="s">
        <v>24</v>
      </c>
      <c r="H336" s="4" t="s">
        <v>25</v>
      </c>
      <c r="I336" s="4" t="s">
        <v>1038</v>
      </c>
      <c r="J336" s="4" t="s">
        <v>1039</v>
      </c>
      <c r="K336" s="5">
        <v>44871</v>
      </c>
      <c r="L336" s="5">
        <v>44945</v>
      </c>
      <c r="M336" s="5">
        <v>44961</v>
      </c>
      <c r="N336" s="6">
        <f t="shared" si="21"/>
        <v>16</v>
      </c>
      <c r="O336" s="4" t="s">
        <v>28</v>
      </c>
      <c r="P336" s="4">
        <v>7664.99</v>
      </c>
      <c r="Q336" s="4"/>
      <c r="R336" s="4" t="str">
        <f t="shared" si="22"/>
        <v>2023</v>
      </c>
      <c r="S336" s="4" t="str">
        <f t="shared" si="23"/>
        <v>January</v>
      </c>
      <c r="T336" s="4">
        <f t="shared" si="24"/>
        <v>7664.99</v>
      </c>
      <c r="U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row>
    <row r="337" spans="1:53" ht="19.95" customHeight="1">
      <c r="A337" s="4">
        <v>336</v>
      </c>
      <c r="B337" s="4" t="s">
        <v>1040</v>
      </c>
      <c r="C337" s="4" t="s">
        <v>20</v>
      </c>
      <c r="D337" s="4" t="s">
        <v>21</v>
      </c>
      <c r="E337" s="4" t="s">
        <v>455</v>
      </c>
      <c r="F337" s="4" t="s">
        <v>1041</v>
      </c>
      <c r="G337" s="4" t="s">
        <v>24</v>
      </c>
      <c r="H337" s="4" t="s">
        <v>25</v>
      </c>
      <c r="I337" s="4" t="s">
        <v>1042</v>
      </c>
      <c r="J337" s="4" t="s">
        <v>1043</v>
      </c>
      <c r="K337" s="5">
        <v>44870</v>
      </c>
      <c r="L337" s="5">
        <v>44878</v>
      </c>
      <c r="M337" s="5">
        <v>44878</v>
      </c>
      <c r="N337" s="6">
        <f t="shared" si="21"/>
        <v>0</v>
      </c>
      <c r="O337" s="4" t="s">
        <v>28</v>
      </c>
      <c r="P337" s="4">
        <v>159.99</v>
      </c>
      <c r="Q337" s="4"/>
      <c r="R337" s="4" t="str">
        <f t="shared" si="22"/>
        <v>2022</v>
      </c>
      <c r="S337" s="4" t="str">
        <f t="shared" si="23"/>
        <v>November</v>
      </c>
      <c r="T337" s="4">
        <f t="shared" si="24"/>
        <v>159.99</v>
      </c>
      <c r="U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row>
    <row r="338" spans="1:53" ht="19.95" customHeight="1">
      <c r="A338" s="4">
        <v>337</v>
      </c>
      <c r="B338" s="4" t="s">
        <v>1044</v>
      </c>
      <c r="C338" s="4" t="s">
        <v>20</v>
      </c>
      <c r="D338" s="4" t="s">
        <v>38</v>
      </c>
      <c r="E338" s="4" t="s">
        <v>39</v>
      </c>
      <c r="F338" s="4" t="s">
        <v>23</v>
      </c>
      <c r="G338" s="4" t="s">
        <v>24</v>
      </c>
      <c r="H338" s="4" t="s">
        <v>25</v>
      </c>
      <c r="I338" s="4" t="s">
        <v>577</v>
      </c>
      <c r="J338" s="4" t="s">
        <v>578</v>
      </c>
      <c r="K338" s="5">
        <v>44870</v>
      </c>
      <c r="L338" s="5">
        <v>44908</v>
      </c>
      <c r="M338" s="5">
        <v>44926</v>
      </c>
      <c r="N338" s="6">
        <f t="shared" si="21"/>
        <v>18</v>
      </c>
      <c r="O338" s="4" t="s">
        <v>28</v>
      </c>
      <c r="P338" s="4">
        <v>16736.78</v>
      </c>
      <c r="Q338" s="4"/>
      <c r="R338" s="4" t="str">
        <f t="shared" si="22"/>
        <v>2022</v>
      </c>
      <c r="S338" s="4" t="str">
        <f t="shared" si="23"/>
        <v>December</v>
      </c>
      <c r="T338" s="4">
        <f t="shared" si="24"/>
        <v>16736.78</v>
      </c>
      <c r="U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row>
    <row r="339" spans="1:53" ht="19.95" customHeight="1">
      <c r="A339" s="4">
        <v>338</v>
      </c>
      <c r="B339" s="4" t="s">
        <v>1045</v>
      </c>
      <c r="C339" s="4" t="s">
        <v>20</v>
      </c>
      <c r="D339" s="4" t="s">
        <v>21</v>
      </c>
      <c r="E339" s="4" t="s">
        <v>39</v>
      </c>
      <c r="F339" s="4" t="s">
        <v>23</v>
      </c>
      <c r="G339" s="4" t="s">
        <v>24</v>
      </c>
      <c r="H339" s="4" t="s">
        <v>25</v>
      </c>
      <c r="I339" s="4" t="s">
        <v>1046</v>
      </c>
      <c r="J339" s="4" t="s">
        <v>1047</v>
      </c>
      <c r="K339" s="5">
        <v>44867</v>
      </c>
      <c r="L339" s="5">
        <v>44925</v>
      </c>
      <c r="M339" s="5">
        <v>44941</v>
      </c>
      <c r="N339" s="6">
        <f t="shared" si="21"/>
        <v>16</v>
      </c>
      <c r="O339" s="4" t="s">
        <v>28</v>
      </c>
      <c r="P339" s="4">
        <v>5413.87</v>
      </c>
      <c r="Q339" s="4"/>
      <c r="R339" s="4" t="str">
        <f t="shared" si="22"/>
        <v>2022</v>
      </c>
      <c r="S339" s="4" t="str">
        <f t="shared" si="23"/>
        <v>December</v>
      </c>
      <c r="T339" s="4">
        <f t="shared" si="24"/>
        <v>5413.87</v>
      </c>
      <c r="U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row>
    <row r="340" spans="1:53" ht="19.95" customHeight="1">
      <c r="A340" s="4">
        <v>339</v>
      </c>
      <c r="B340" s="4" t="s">
        <v>1048</v>
      </c>
      <c r="C340" s="4" t="s">
        <v>20</v>
      </c>
      <c r="D340" s="4" t="s">
        <v>21</v>
      </c>
      <c r="E340" s="4" t="s">
        <v>39</v>
      </c>
      <c r="F340" s="4" t="s">
        <v>23</v>
      </c>
      <c r="G340" s="4" t="s">
        <v>24</v>
      </c>
      <c r="H340" s="4" t="s">
        <v>25</v>
      </c>
      <c r="I340" s="4" t="s">
        <v>1049</v>
      </c>
      <c r="J340" s="4" t="s">
        <v>1050</v>
      </c>
      <c r="K340" s="5">
        <v>44866</v>
      </c>
      <c r="L340" s="5">
        <v>44919</v>
      </c>
      <c r="M340" s="5">
        <v>44935</v>
      </c>
      <c r="N340" s="6">
        <f t="shared" si="21"/>
        <v>16</v>
      </c>
      <c r="O340" s="4" t="s">
        <v>28</v>
      </c>
      <c r="P340" s="4">
        <v>3374.41</v>
      </c>
      <c r="Q340" s="4"/>
      <c r="R340" s="4" t="str">
        <f t="shared" si="22"/>
        <v>2022</v>
      </c>
      <c r="S340" s="4" t="str">
        <f t="shared" si="23"/>
        <v>December</v>
      </c>
      <c r="T340" s="4">
        <f t="shared" si="24"/>
        <v>3374.41</v>
      </c>
      <c r="U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row>
    <row r="341" spans="1:53" ht="19.95" customHeight="1">
      <c r="A341" s="4">
        <v>340</v>
      </c>
      <c r="B341" s="4" t="s">
        <v>1051</v>
      </c>
      <c r="C341" s="4" t="s">
        <v>65</v>
      </c>
      <c r="D341" s="4" t="s">
        <v>21</v>
      </c>
      <c r="E341" s="4" t="s">
        <v>672</v>
      </c>
      <c r="F341" s="4" t="s">
        <v>23</v>
      </c>
      <c r="G341" s="4" t="s">
        <v>24</v>
      </c>
      <c r="H341" s="4" t="s">
        <v>25</v>
      </c>
      <c r="I341" s="4" t="s">
        <v>1052</v>
      </c>
      <c r="J341" s="4" t="s">
        <v>1053</v>
      </c>
      <c r="K341" s="5">
        <v>44866</v>
      </c>
      <c r="L341" s="5">
        <v>44871</v>
      </c>
      <c r="M341" s="5">
        <v>44884</v>
      </c>
      <c r="N341" s="6">
        <f t="shared" si="21"/>
        <v>13</v>
      </c>
      <c r="O341" s="4" t="s">
        <v>28</v>
      </c>
      <c r="P341" s="4">
        <v>5444.71</v>
      </c>
      <c r="Q341" s="4"/>
      <c r="R341" s="4" t="str">
        <f t="shared" si="22"/>
        <v>2022</v>
      </c>
      <c r="S341" s="4" t="str">
        <f t="shared" si="23"/>
        <v>November</v>
      </c>
      <c r="T341" s="4">
        <f t="shared" si="24"/>
        <v>5444.71</v>
      </c>
      <c r="U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row>
    <row r="342" spans="1:53" ht="19.95" customHeight="1">
      <c r="A342" s="4">
        <v>341</v>
      </c>
      <c r="B342" s="4" t="s">
        <v>1054</v>
      </c>
      <c r="C342" s="4" t="s">
        <v>20</v>
      </c>
      <c r="D342" s="4" t="s">
        <v>56</v>
      </c>
      <c r="E342" s="4" t="s">
        <v>39</v>
      </c>
      <c r="F342" s="4" t="s">
        <v>23</v>
      </c>
      <c r="G342" s="4" t="s">
        <v>24</v>
      </c>
      <c r="H342" s="4" t="s">
        <v>25</v>
      </c>
      <c r="I342" s="4" t="s">
        <v>1055</v>
      </c>
      <c r="J342" s="4" t="s">
        <v>1056</v>
      </c>
      <c r="K342" s="5">
        <v>44862</v>
      </c>
      <c r="L342" s="5">
        <v>44965</v>
      </c>
      <c r="M342" s="5">
        <v>44981</v>
      </c>
      <c r="N342" s="6">
        <f t="shared" si="21"/>
        <v>16</v>
      </c>
      <c r="O342" s="4" t="s">
        <v>28</v>
      </c>
      <c r="P342" s="4">
        <v>9495.0300000000007</v>
      </c>
      <c r="Q342" s="4"/>
      <c r="R342" s="4" t="str">
        <f t="shared" si="22"/>
        <v>2023</v>
      </c>
      <c r="S342" s="4" t="str">
        <f t="shared" si="23"/>
        <v>February</v>
      </c>
      <c r="T342" s="4">
        <f t="shared" si="24"/>
        <v>9495.0300000000007</v>
      </c>
      <c r="U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row>
    <row r="343" spans="1:53" ht="19.95" customHeight="1">
      <c r="A343" s="4">
        <v>342</v>
      </c>
      <c r="B343" s="4" t="s">
        <v>1057</v>
      </c>
      <c r="C343" s="4" t="s">
        <v>20</v>
      </c>
      <c r="D343" s="4" t="s">
        <v>56</v>
      </c>
      <c r="E343" s="4" t="s">
        <v>455</v>
      </c>
      <c r="F343" s="4" t="s">
        <v>722</v>
      </c>
      <c r="G343" s="4" t="s">
        <v>24</v>
      </c>
      <c r="H343" s="4" t="s">
        <v>254</v>
      </c>
      <c r="I343" s="4" t="s">
        <v>1058</v>
      </c>
      <c r="J343" s="4" t="s">
        <v>1059</v>
      </c>
      <c r="K343" s="5">
        <v>44861</v>
      </c>
      <c r="L343" s="5">
        <v>44968</v>
      </c>
      <c r="M343" s="5">
        <v>44974</v>
      </c>
      <c r="N343" s="6">
        <f t="shared" si="21"/>
        <v>6</v>
      </c>
      <c r="O343" s="4" t="s">
        <v>28</v>
      </c>
      <c r="P343" s="4">
        <v>2014.95</v>
      </c>
      <c r="Q343" s="4"/>
      <c r="R343" s="4" t="str">
        <f t="shared" si="22"/>
        <v>2023</v>
      </c>
      <c r="S343" s="4" t="str">
        <f t="shared" si="23"/>
        <v>February</v>
      </c>
      <c r="T343" s="4">
        <f t="shared" si="24"/>
        <v>2014.95</v>
      </c>
      <c r="U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row>
    <row r="344" spans="1:53" ht="19.95" customHeight="1">
      <c r="A344" s="4">
        <v>343</v>
      </c>
      <c r="B344" s="4" t="s">
        <v>1060</v>
      </c>
      <c r="C344" s="4" t="s">
        <v>20</v>
      </c>
      <c r="D344" s="4" t="s">
        <v>21</v>
      </c>
      <c r="E344" s="4" t="s">
        <v>39</v>
      </c>
      <c r="F344" s="4" t="s">
        <v>23</v>
      </c>
      <c r="G344" s="4" t="s">
        <v>24</v>
      </c>
      <c r="H344" s="4" t="s">
        <v>25</v>
      </c>
      <c r="I344" s="4" t="s">
        <v>1061</v>
      </c>
      <c r="J344" s="4"/>
      <c r="K344" s="5">
        <v>44860</v>
      </c>
      <c r="L344" s="5">
        <v>44916</v>
      </c>
      <c r="M344" s="5">
        <v>44929</v>
      </c>
      <c r="N344" s="6">
        <f t="shared" si="21"/>
        <v>13</v>
      </c>
      <c r="O344" s="4" t="s">
        <v>28</v>
      </c>
      <c r="P344" s="4">
        <v>2419.08</v>
      </c>
      <c r="Q344" s="4"/>
      <c r="R344" s="4" t="str">
        <f t="shared" si="22"/>
        <v>2022</v>
      </c>
      <c r="S344" s="4" t="str">
        <f t="shared" si="23"/>
        <v>December</v>
      </c>
      <c r="T344" s="4">
        <f t="shared" si="24"/>
        <v>2419.08</v>
      </c>
      <c r="U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row>
    <row r="345" spans="1:53" ht="19.95" customHeight="1">
      <c r="A345" s="4">
        <v>344</v>
      </c>
      <c r="B345" s="4" t="s">
        <v>1062</v>
      </c>
      <c r="C345" s="4" t="s">
        <v>20</v>
      </c>
      <c r="D345" s="4" t="s">
        <v>38</v>
      </c>
      <c r="E345" s="4" t="s">
        <v>39</v>
      </c>
      <c r="F345" s="4" t="s">
        <v>23</v>
      </c>
      <c r="G345" s="4" t="s">
        <v>24</v>
      </c>
      <c r="H345" s="4" t="s">
        <v>25</v>
      </c>
      <c r="I345" s="4" t="s">
        <v>1063</v>
      </c>
      <c r="J345" s="4" t="s">
        <v>1064</v>
      </c>
      <c r="K345" s="5">
        <v>44860</v>
      </c>
      <c r="L345" s="5">
        <v>44933</v>
      </c>
      <c r="M345" s="5">
        <v>44942</v>
      </c>
      <c r="N345" s="6">
        <f t="shared" si="21"/>
        <v>9</v>
      </c>
      <c r="O345" s="4" t="s">
        <v>28</v>
      </c>
      <c r="P345" s="4">
        <v>3294.16</v>
      </c>
      <c r="Q345" s="4"/>
      <c r="R345" s="4" t="str">
        <f t="shared" si="22"/>
        <v>2023</v>
      </c>
      <c r="S345" s="4" t="str">
        <f t="shared" si="23"/>
        <v>January</v>
      </c>
      <c r="T345" s="4">
        <f t="shared" si="24"/>
        <v>3294.16</v>
      </c>
      <c r="U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row>
    <row r="346" spans="1:53" ht="19.95" customHeight="1">
      <c r="A346" s="4">
        <v>345</v>
      </c>
      <c r="B346" s="4" t="s">
        <v>1065</v>
      </c>
      <c r="C346" s="4" t="s">
        <v>20</v>
      </c>
      <c r="D346" s="4" t="s">
        <v>21</v>
      </c>
      <c r="E346" s="4" t="s">
        <v>76</v>
      </c>
      <c r="F346" s="4" t="s">
        <v>23</v>
      </c>
      <c r="G346" s="4" t="s">
        <v>24</v>
      </c>
      <c r="H346" s="4" t="s">
        <v>25</v>
      </c>
      <c r="I346" s="4" t="s">
        <v>1066</v>
      </c>
      <c r="J346" s="4" t="s">
        <v>1067</v>
      </c>
      <c r="K346" s="5">
        <v>44859</v>
      </c>
      <c r="L346" s="5">
        <v>44927</v>
      </c>
      <c r="M346" s="5">
        <v>44933</v>
      </c>
      <c r="N346" s="6">
        <f t="shared" si="21"/>
        <v>6</v>
      </c>
      <c r="O346" s="4" t="s">
        <v>334</v>
      </c>
      <c r="P346" s="4">
        <v>3186.59</v>
      </c>
      <c r="Q346" s="4"/>
      <c r="R346" s="4" t="str">
        <f t="shared" si="22"/>
        <v>2023</v>
      </c>
      <c r="S346" s="4" t="str">
        <f t="shared" si="23"/>
        <v>January</v>
      </c>
      <c r="T346" s="4">
        <f t="shared" si="24"/>
        <v>3186.59</v>
      </c>
      <c r="U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row>
    <row r="347" spans="1:53" ht="19.95" customHeight="1">
      <c r="A347" s="4">
        <v>346</v>
      </c>
      <c r="B347" s="4" t="s">
        <v>1068</v>
      </c>
      <c r="C347" s="4" t="s">
        <v>65</v>
      </c>
      <c r="D347" s="4" t="s">
        <v>38</v>
      </c>
      <c r="E347" s="4" t="s">
        <v>39</v>
      </c>
      <c r="F347" s="4" t="s">
        <v>48</v>
      </c>
      <c r="G347" s="4" t="s">
        <v>24</v>
      </c>
      <c r="H347" s="4" t="s">
        <v>1069</v>
      </c>
      <c r="I347" s="4" t="s">
        <v>1070</v>
      </c>
      <c r="J347" s="4" t="s">
        <v>1071</v>
      </c>
      <c r="K347" s="5">
        <v>44858</v>
      </c>
      <c r="L347" s="5">
        <v>45128</v>
      </c>
      <c r="M347" s="5">
        <v>45132</v>
      </c>
      <c r="N347" s="6">
        <f t="shared" si="21"/>
        <v>4</v>
      </c>
      <c r="O347" s="4" t="s">
        <v>28</v>
      </c>
      <c r="P347" s="4">
        <v>3164.68</v>
      </c>
      <c r="Q347" s="4"/>
      <c r="R347" s="4" t="str">
        <f t="shared" si="22"/>
        <v>2023</v>
      </c>
      <c r="S347" s="4" t="str">
        <f t="shared" si="23"/>
        <v>July</v>
      </c>
      <c r="T347" s="4">
        <f t="shared" si="24"/>
        <v>3164.68</v>
      </c>
      <c r="U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row>
    <row r="348" spans="1:53" ht="19.95" customHeight="1">
      <c r="A348" s="4">
        <v>347</v>
      </c>
      <c r="B348" s="4" t="s">
        <v>1072</v>
      </c>
      <c r="C348" s="4" t="s">
        <v>65</v>
      </c>
      <c r="D348" s="4" t="s">
        <v>38</v>
      </c>
      <c r="E348" s="4" t="s">
        <v>672</v>
      </c>
      <c r="F348" s="4" t="s">
        <v>128</v>
      </c>
      <c r="G348" s="4" t="s">
        <v>24</v>
      </c>
      <c r="H348" s="4" t="s">
        <v>200</v>
      </c>
      <c r="I348" s="4" t="s">
        <v>1013</v>
      </c>
      <c r="J348" s="4"/>
      <c r="K348" s="5">
        <v>44858</v>
      </c>
      <c r="L348" s="5">
        <v>44875</v>
      </c>
      <c r="M348" s="5">
        <v>44878</v>
      </c>
      <c r="N348" s="6">
        <f t="shared" si="21"/>
        <v>3</v>
      </c>
      <c r="O348" s="4" t="s">
        <v>28</v>
      </c>
      <c r="P348" s="4">
        <v>8087.78</v>
      </c>
      <c r="Q348" s="4"/>
      <c r="R348" s="4" t="str">
        <f t="shared" si="22"/>
        <v>2022</v>
      </c>
      <c r="S348" s="4" t="str">
        <f t="shared" si="23"/>
        <v>November</v>
      </c>
      <c r="T348" s="4">
        <f t="shared" si="24"/>
        <v>8087.78</v>
      </c>
      <c r="U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row>
    <row r="349" spans="1:53" ht="19.95" customHeight="1">
      <c r="A349" s="4">
        <v>348</v>
      </c>
      <c r="B349" s="4" t="s">
        <v>1073</v>
      </c>
      <c r="C349" s="4" t="s">
        <v>65</v>
      </c>
      <c r="D349" s="4" t="s">
        <v>38</v>
      </c>
      <c r="E349" s="4" t="s">
        <v>672</v>
      </c>
      <c r="F349" s="4" t="s">
        <v>128</v>
      </c>
      <c r="G349" s="4" t="s">
        <v>24</v>
      </c>
      <c r="H349" s="4" t="s">
        <v>200</v>
      </c>
      <c r="I349" s="4" t="s">
        <v>1013</v>
      </c>
      <c r="J349" s="4"/>
      <c r="K349" s="5">
        <v>44858</v>
      </c>
      <c r="L349" s="5">
        <v>44882</v>
      </c>
      <c r="M349" s="5">
        <v>44885</v>
      </c>
      <c r="N349" s="6">
        <f t="shared" si="21"/>
        <v>3</v>
      </c>
      <c r="O349" s="4" t="s">
        <v>28</v>
      </c>
      <c r="P349" s="4">
        <v>8601.08</v>
      </c>
      <c r="Q349" s="4"/>
      <c r="R349" s="4" t="str">
        <f t="shared" si="22"/>
        <v>2022</v>
      </c>
      <c r="S349" s="4" t="str">
        <f t="shared" si="23"/>
        <v>November</v>
      </c>
      <c r="T349" s="4">
        <f t="shared" si="24"/>
        <v>8601.08</v>
      </c>
      <c r="U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row>
    <row r="350" spans="1:53" ht="19.95" customHeight="1">
      <c r="A350" s="4">
        <v>349</v>
      </c>
      <c r="B350" s="4" t="s">
        <v>1074</v>
      </c>
      <c r="C350" s="4" t="s">
        <v>20</v>
      </c>
      <c r="D350" s="4" t="s">
        <v>38</v>
      </c>
      <c r="E350" s="4" t="s">
        <v>39</v>
      </c>
      <c r="F350" s="4" t="s">
        <v>23</v>
      </c>
      <c r="G350" s="4" t="s">
        <v>24</v>
      </c>
      <c r="H350" s="4" t="s">
        <v>25</v>
      </c>
      <c r="I350" s="4" t="s">
        <v>1075</v>
      </c>
      <c r="J350" s="4" t="s">
        <v>1076</v>
      </c>
      <c r="K350" s="5">
        <v>44852</v>
      </c>
      <c r="L350" s="5">
        <v>44946</v>
      </c>
      <c r="M350" s="5">
        <v>44967</v>
      </c>
      <c r="N350" s="6">
        <f t="shared" si="21"/>
        <v>21</v>
      </c>
      <c r="O350" s="4" t="s">
        <v>28</v>
      </c>
      <c r="P350" s="4">
        <v>10872.35</v>
      </c>
      <c r="Q350" s="4"/>
      <c r="R350" s="4" t="str">
        <f t="shared" si="22"/>
        <v>2023</v>
      </c>
      <c r="S350" s="4" t="str">
        <f t="shared" si="23"/>
        <v>January</v>
      </c>
      <c r="T350" s="4">
        <f t="shared" si="24"/>
        <v>10872.35</v>
      </c>
      <c r="U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row>
    <row r="351" spans="1:53" ht="19.95" customHeight="1">
      <c r="A351" s="4">
        <v>350</v>
      </c>
      <c r="B351" s="4" t="s">
        <v>1077</v>
      </c>
      <c r="C351" s="4" t="s">
        <v>20</v>
      </c>
      <c r="D351" s="4" t="s">
        <v>38</v>
      </c>
      <c r="E351" s="4" t="s">
        <v>39</v>
      </c>
      <c r="F351" s="4" t="s">
        <v>23</v>
      </c>
      <c r="G351" s="4" t="s">
        <v>24</v>
      </c>
      <c r="H351" s="4" t="s">
        <v>25</v>
      </c>
      <c r="I351" s="4" t="s">
        <v>1078</v>
      </c>
      <c r="J351" s="4" t="s">
        <v>1079</v>
      </c>
      <c r="K351" s="5">
        <v>44852</v>
      </c>
      <c r="L351" s="5">
        <v>44960</v>
      </c>
      <c r="M351" s="5">
        <v>44976</v>
      </c>
      <c r="N351" s="6">
        <f t="shared" si="21"/>
        <v>16</v>
      </c>
      <c r="O351" s="4" t="s">
        <v>28</v>
      </c>
      <c r="P351" s="4">
        <v>5836.99</v>
      </c>
      <c r="Q351" s="4"/>
      <c r="R351" s="4" t="str">
        <f t="shared" si="22"/>
        <v>2023</v>
      </c>
      <c r="S351" s="4" t="str">
        <f t="shared" si="23"/>
        <v>February</v>
      </c>
      <c r="T351" s="4">
        <f t="shared" si="24"/>
        <v>5836.99</v>
      </c>
      <c r="U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row>
    <row r="352" spans="1:53" ht="19.95" customHeight="1">
      <c r="A352" s="4">
        <v>351</v>
      </c>
      <c r="B352" s="4" t="s">
        <v>1080</v>
      </c>
      <c r="C352" s="4" t="s">
        <v>20</v>
      </c>
      <c r="D352" s="4" t="s">
        <v>21</v>
      </c>
      <c r="E352" s="4" t="s">
        <v>455</v>
      </c>
      <c r="F352" s="4" t="s">
        <v>23</v>
      </c>
      <c r="G352" s="4" t="s">
        <v>24</v>
      </c>
      <c r="H352" s="4" t="s">
        <v>25</v>
      </c>
      <c r="I352" s="4" t="s">
        <v>1081</v>
      </c>
      <c r="J352" s="4" t="s">
        <v>1082</v>
      </c>
      <c r="K352" s="5">
        <v>44849</v>
      </c>
      <c r="L352" s="5">
        <v>44850</v>
      </c>
      <c r="M352" s="5">
        <v>44863</v>
      </c>
      <c r="N352" s="6">
        <f t="shared" si="21"/>
        <v>13</v>
      </c>
      <c r="O352" s="4" t="s">
        <v>28</v>
      </c>
      <c r="P352" s="4">
        <v>3943.54</v>
      </c>
      <c r="Q352" s="4"/>
      <c r="R352" s="4" t="str">
        <f t="shared" si="22"/>
        <v>2022</v>
      </c>
      <c r="S352" s="4" t="str">
        <f t="shared" si="23"/>
        <v>October</v>
      </c>
      <c r="T352" s="4">
        <f t="shared" si="24"/>
        <v>3943.54</v>
      </c>
      <c r="U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row>
    <row r="353" spans="1:53" ht="19.95" customHeight="1">
      <c r="A353" s="4">
        <v>352</v>
      </c>
      <c r="B353" s="4" t="s">
        <v>1083</v>
      </c>
      <c r="C353" s="4" t="s">
        <v>20</v>
      </c>
      <c r="D353" s="4" t="s">
        <v>56</v>
      </c>
      <c r="E353" s="4" t="s">
        <v>39</v>
      </c>
      <c r="F353" s="4" t="s">
        <v>23</v>
      </c>
      <c r="G353" s="4" t="s">
        <v>24</v>
      </c>
      <c r="H353" s="4" t="s">
        <v>25</v>
      </c>
      <c r="I353" s="4" t="s">
        <v>1084</v>
      </c>
      <c r="J353" s="4" t="s">
        <v>1085</v>
      </c>
      <c r="K353" s="5">
        <v>44844</v>
      </c>
      <c r="L353" s="5">
        <v>44845</v>
      </c>
      <c r="M353" s="5">
        <v>44845</v>
      </c>
      <c r="N353" s="6">
        <f t="shared" ref="N353:N384" si="25">M353-L353</f>
        <v>0</v>
      </c>
      <c r="O353" s="4" t="s">
        <v>28</v>
      </c>
      <c r="P353" s="4">
        <v>197.21</v>
      </c>
      <c r="Q353" s="4"/>
      <c r="R353" s="4" t="str">
        <f t="shared" si="22"/>
        <v>2022</v>
      </c>
      <c r="S353" s="4" t="str">
        <f t="shared" si="23"/>
        <v>October</v>
      </c>
      <c r="T353" s="4">
        <f t="shared" si="24"/>
        <v>197.21</v>
      </c>
      <c r="U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row>
    <row r="354" spans="1:53" ht="19.95" customHeight="1">
      <c r="A354" s="4">
        <v>353</v>
      </c>
      <c r="B354" s="4" t="s">
        <v>1086</v>
      </c>
      <c r="C354" s="4" t="s">
        <v>65</v>
      </c>
      <c r="D354" s="4" t="s">
        <v>56</v>
      </c>
      <c r="E354" s="4" t="s">
        <v>672</v>
      </c>
      <c r="F354" s="4" t="s">
        <v>23</v>
      </c>
      <c r="G354" s="4" t="s">
        <v>24</v>
      </c>
      <c r="H354" s="4" t="s">
        <v>25</v>
      </c>
      <c r="I354" s="4" t="s">
        <v>1087</v>
      </c>
      <c r="J354" s="4" t="s">
        <v>1088</v>
      </c>
      <c r="K354" s="5">
        <v>44834</v>
      </c>
      <c r="L354" s="5">
        <v>44852</v>
      </c>
      <c r="M354" s="5">
        <v>44858</v>
      </c>
      <c r="N354" s="6">
        <f t="shared" si="25"/>
        <v>6</v>
      </c>
      <c r="O354" s="4" t="s">
        <v>28</v>
      </c>
      <c r="P354" s="4">
        <v>4454.25</v>
      </c>
      <c r="Q354" s="4"/>
      <c r="R354" s="4" t="str">
        <f t="shared" si="22"/>
        <v>2022</v>
      </c>
      <c r="S354" s="4" t="str">
        <f t="shared" si="23"/>
        <v>October</v>
      </c>
      <c r="T354" s="4">
        <f t="shared" si="24"/>
        <v>4454.25</v>
      </c>
      <c r="U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row>
    <row r="355" spans="1:53" ht="19.95" customHeight="1">
      <c r="A355" s="4">
        <v>354</v>
      </c>
      <c r="B355" s="4" t="s">
        <v>1089</v>
      </c>
      <c r="C355" s="4" t="s">
        <v>20</v>
      </c>
      <c r="D355" s="4" t="s">
        <v>21</v>
      </c>
      <c r="E355" s="4" t="s">
        <v>455</v>
      </c>
      <c r="F355" s="4" t="s">
        <v>23</v>
      </c>
      <c r="G355" s="4" t="s">
        <v>24</v>
      </c>
      <c r="H355" s="4" t="s">
        <v>25</v>
      </c>
      <c r="I355" s="4" t="s">
        <v>1090</v>
      </c>
      <c r="J355" s="4" t="s">
        <v>1091</v>
      </c>
      <c r="K355" s="5">
        <v>44834</v>
      </c>
      <c r="L355" s="5">
        <v>44859</v>
      </c>
      <c r="M355" s="5">
        <v>44868</v>
      </c>
      <c r="N355" s="6">
        <f t="shared" si="25"/>
        <v>9</v>
      </c>
      <c r="O355" s="4" t="s">
        <v>28</v>
      </c>
      <c r="P355" s="4">
        <v>2475.06</v>
      </c>
      <c r="Q355" s="4"/>
      <c r="R355" s="4" t="str">
        <f t="shared" si="22"/>
        <v>2022</v>
      </c>
      <c r="S355" s="4" t="str">
        <f t="shared" si="23"/>
        <v>October</v>
      </c>
      <c r="T355" s="4">
        <f t="shared" si="24"/>
        <v>2475.06</v>
      </c>
      <c r="U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row>
    <row r="356" spans="1:53" ht="19.95" customHeight="1">
      <c r="A356" s="4">
        <v>355</v>
      </c>
      <c r="B356" s="4" t="s">
        <v>1092</v>
      </c>
      <c r="C356" s="4" t="s">
        <v>20</v>
      </c>
      <c r="D356" s="4" t="s">
        <v>56</v>
      </c>
      <c r="E356" s="4" t="s">
        <v>39</v>
      </c>
      <c r="F356" s="4" t="s">
        <v>223</v>
      </c>
      <c r="G356" s="4" t="s">
        <v>24</v>
      </c>
      <c r="H356" s="4" t="s">
        <v>224</v>
      </c>
      <c r="I356" s="4" t="s">
        <v>1093</v>
      </c>
      <c r="J356" s="4" t="s">
        <v>1094</v>
      </c>
      <c r="K356" s="5">
        <v>44826</v>
      </c>
      <c r="L356" s="5">
        <v>44925</v>
      </c>
      <c r="M356" s="5">
        <v>44936</v>
      </c>
      <c r="N356" s="6">
        <f t="shared" si="25"/>
        <v>11</v>
      </c>
      <c r="O356" s="4" t="s">
        <v>28</v>
      </c>
      <c r="P356" s="4">
        <v>8423.83</v>
      </c>
      <c r="Q356" s="4"/>
      <c r="R356" s="4" t="str">
        <f t="shared" si="22"/>
        <v>2022</v>
      </c>
      <c r="S356" s="4" t="str">
        <f t="shared" si="23"/>
        <v>December</v>
      </c>
      <c r="T356" s="4">
        <f t="shared" si="24"/>
        <v>8423.83</v>
      </c>
      <c r="U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row>
    <row r="357" spans="1:53" ht="19.95" customHeight="1">
      <c r="A357" s="4">
        <v>356</v>
      </c>
      <c r="B357" s="4" t="s">
        <v>1095</v>
      </c>
      <c r="C357" s="4" t="s">
        <v>20</v>
      </c>
      <c r="D357" s="4" t="s">
        <v>21</v>
      </c>
      <c r="E357" s="4" t="s">
        <v>39</v>
      </c>
      <c r="F357" s="4" t="s">
        <v>23</v>
      </c>
      <c r="G357" s="4" t="s">
        <v>24</v>
      </c>
      <c r="H357" s="4" t="s">
        <v>25</v>
      </c>
      <c r="I357" s="4" t="s">
        <v>1096</v>
      </c>
      <c r="J357" s="4" t="s">
        <v>1097</v>
      </c>
      <c r="K357" s="5">
        <v>44825</v>
      </c>
      <c r="L357" s="5">
        <v>44977</v>
      </c>
      <c r="M357" s="5">
        <v>45007</v>
      </c>
      <c r="N357" s="6">
        <f t="shared" si="25"/>
        <v>30</v>
      </c>
      <c r="O357" s="4" t="s">
        <v>28</v>
      </c>
      <c r="P357" s="4">
        <v>12032.56</v>
      </c>
      <c r="Q357" s="4"/>
      <c r="R357" s="4" t="str">
        <f t="shared" si="22"/>
        <v>2023</v>
      </c>
      <c r="S357" s="4" t="str">
        <f t="shared" si="23"/>
        <v>February</v>
      </c>
      <c r="T357" s="4">
        <f t="shared" si="24"/>
        <v>12032.56</v>
      </c>
      <c r="U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row>
    <row r="358" spans="1:53" ht="19.95" customHeight="1">
      <c r="A358" s="4">
        <v>357</v>
      </c>
      <c r="B358" s="4" t="s">
        <v>1098</v>
      </c>
      <c r="C358" s="4" t="s">
        <v>65</v>
      </c>
      <c r="D358" s="4" t="s">
        <v>21</v>
      </c>
      <c r="E358" s="4" t="s">
        <v>672</v>
      </c>
      <c r="F358" s="4" t="s">
        <v>43</v>
      </c>
      <c r="G358" s="4" t="s">
        <v>24</v>
      </c>
      <c r="H358" s="4" t="s">
        <v>44</v>
      </c>
      <c r="I358" s="4" t="s">
        <v>1099</v>
      </c>
      <c r="J358" s="4" t="s">
        <v>1100</v>
      </c>
      <c r="K358" s="5">
        <v>44823</v>
      </c>
      <c r="L358" s="5">
        <v>44912</v>
      </c>
      <c r="M358" s="5">
        <v>44924</v>
      </c>
      <c r="N358" s="6">
        <f t="shared" si="25"/>
        <v>12</v>
      </c>
      <c r="O358" s="4" t="s">
        <v>28</v>
      </c>
      <c r="P358" s="4">
        <v>17017.96</v>
      </c>
      <c r="Q358" s="4"/>
      <c r="R358" s="4" t="str">
        <f t="shared" si="22"/>
        <v>2022</v>
      </c>
      <c r="S358" s="4" t="str">
        <f t="shared" si="23"/>
        <v>December</v>
      </c>
      <c r="T358" s="4">
        <f t="shared" si="24"/>
        <v>17017.96</v>
      </c>
      <c r="U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row>
    <row r="359" spans="1:53" ht="19.95" customHeight="1">
      <c r="A359" s="4">
        <v>358</v>
      </c>
      <c r="B359" s="4" t="s">
        <v>1101</v>
      </c>
      <c r="C359" s="4" t="s">
        <v>20</v>
      </c>
      <c r="D359" s="4" t="s">
        <v>21</v>
      </c>
      <c r="E359" s="4" t="s">
        <v>39</v>
      </c>
      <c r="F359" s="4" t="s">
        <v>23</v>
      </c>
      <c r="G359" s="4" t="s">
        <v>24</v>
      </c>
      <c r="H359" s="4" t="s">
        <v>25</v>
      </c>
      <c r="I359" s="4" t="s">
        <v>1102</v>
      </c>
      <c r="J359" s="4" t="s">
        <v>1103</v>
      </c>
      <c r="K359" s="5">
        <v>44812</v>
      </c>
      <c r="L359" s="5">
        <v>44938</v>
      </c>
      <c r="M359" s="5">
        <v>44957</v>
      </c>
      <c r="N359" s="6">
        <f t="shared" si="25"/>
        <v>19</v>
      </c>
      <c r="O359" s="4" t="s">
        <v>28</v>
      </c>
      <c r="P359" s="4">
        <v>9567.7800000000007</v>
      </c>
      <c r="Q359" s="4"/>
      <c r="R359" s="4" t="str">
        <f t="shared" si="22"/>
        <v>2023</v>
      </c>
      <c r="S359" s="4" t="str">
        <f t="shared" si="23"/>
        <v>January</v>
      </c>
      <c r="T359" s="4">
        <f t="shared" si="24"/>
        <v>9567.7800000000007</v>
      </c>
      <c r="U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row>
    <row r="360" spans="1:53" ht="19.95" customHeight="1">
      <c r="A360" s="4">
        <v>359</v>
      </c>
      <c r="B360" s="4" t="s">
        <v>1104</v>
      </c>
      <c r="C360" s="4" t="s">
        <v>20</v>
      </c>
      <c r="D360" s="4" t="s">
        <v>21</v>
      </c>
      <c r="E360" s="4" t="s">
        <v>39</v>
      </c>
      <c r="F360" s="4" t="s">
        <v>23</v>
      </c>
      <c r="G360" s="4" t="s">
        <v>24</v>
      </c>
      <c r="H360" s="4" t="s">
        <v>25</v>
      </c>
      <c r="I360" s="4" t="s">
        <v>1105</v>
      </c>
      <c r="J360" s="4" t="s">
        <v>1106</v>
      </c>
      <c r="K360" s="5">
        <v>44807</v>
      </c>
      <c r="L360" s="5">
        <v>44898</v>
      </c>
      <c r="M360" s="5">
        <v>44916</v>
      </c>
      <c r="N360" s="6">
        <f t="shared" si="25"/>
        <v>18</v>
      </c>
      <c r="O360" s="4" t="s">
        <v>28</v>
      </c>
      <c r="P360" s="4">
        <v>13179.19</v>
      </c>
      <c r="Q360" s="4"/>
      <c r="R360" s="4" t="str">
        <f t="shared" si="22"/>
        <v>2022</v>
      </c>
      <c r="S360" s="4" t="str">
        <f t="shared" si="23"/>
        <v>December</v>
      </c>
      <c r="T360" s="4">
        <f t="shared" si="24"/>
        <v>13179.19</v>
      </c>
      <c r="U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row>
    <row r="361" spans="1:53" ht="19.95" customHeight="1">
      <c r="A361" s="4">
        <v>360</v>
      </c>
      <c r="B361" s="4" t="s">
        <v>1107</v>
      </c>
      <c r="C361" s="4" t="s">
        <v>20</v>
      </c>
      <c r="D361" s="4" t="s">
        <v>30</v>
      </c>
      <c r="E361" s="4" t="s">
        <v>39</v>
      </c>
      <c r="F361" s="4" t="s">
        <v>24</v>
      </c>
      <c r="G361" s="4" t="s">
        <v>24</v>
      </c>
      <c r="H361" s="4" t="s">
        <v>200</v>
      </c>
      <c r="I361" s="4" t="s">
        <v>201</v>
      </c>
      <c r="J361" s="4" t="s">
        <v>202</v>
      </c>
      <c r="K361" s="5">
        <v>44806</v>
      </c>
      <c r="L361" s="5">
        <v>44810</v>
      </c>
      <c r="M361" s="5">
        <v>44813</v>
      </c>
      <c r="N361" s="6">
        <f t="shared" si="25"/>
        <v>3</v>
      </c>
      <c r="O361" s="4" t="s">
        <v>28</v>
      </c>
      <c r="P361" s="4">
        <v>327.95</v>
      </c>
      <c r="Q361" s="4"/>
      <c r="R361" s="4" t="str">
        <f t="shared" si="22"/>
        <v>2022</v>
      </c>
      <c r="S361" s="4" t="str">
        <f t="shared" si="23"/>
        <v>September</v>
      </c>
      <c r="T361" s="4">
        <f t="shared" si="24"/>
        <v>327.95</v>
      </c>
      <c r="U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row>
    <row r="362" spans="1:53" ht="19.95" customHeight="1">
      <c r="A362" s="4">
        <v>361</v>
      </c>
      <c r="B362" s="4" t="s">
        <v>1108</v>
      </c>
      <c r="C362" s="4" t="s">
        <v>65</v>
      </c>
      <c r="D362" s="4" t="s">
        <v>21</v>
      </c>
      <c r="E362" s="4" t="s">
        <v>672</v>
      </c>
      <c r="F362" s="4" t="s">
        <v>96</v>
      </c>
      <c r="G362" s="4" t="s">
        <v>24</v>
      </c>
      <c r="H362" s="4" t="s">
        <v>97</v>
      </c>
      <c r="I362" s="4" t="s">
        <v>1109</v>
      </c>
      <c r="J362" s="4" t="s">
        <v>1110</v>
      </c>
      <c r="K362" s="5">
        <v>44784</v>
      </c>
      <c r="L362" s="5">
        <v>44801</v>
      </c>
      <c r="M362" s="5">
        <v>44810</v>
      </c>
      <c r="N362" s="6">
        <f t="shared" si="25"/>
        <v>9</v>
      </c>
      <c r="O362" s="4" t="s">
        <v>28</v>
      </c>
      <c r="P362" s="4">
        <v>13283.65</v>
      </c>
      <c r="Q362" s="4"/>
      <c r="R362" s="4" t="str">
        <f t="shared" si="22"/>
        <v>2022</v>
      </c>
      <c r="S362" s="4" t="str">
        <f t="shared" si="23"/>
        <v>August</v>
      </c>
      <c r="T362" s="4">
        <f t="shared" si="24"/>
        <v>13283.65</v>
      </c>
      <c r="U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row>
    <row r="363" spans="1:53" ht="19.95" customHeight="1">
      <c r="A363" s="4">
        <v>362</v>
      </c>
      <c r="B363" s="4" t="s">
        <v>1111</v>
      </c>
      <c r="C363" s="4" t="s">
        <v>65</v>
      </c>
      <c r="D363" s="4" t="s">
        <v>56</v>
      </c>
      <c r="E363" s="4" t="s">
        <v>345</v>
      </c>
      <c r="F363" s="4" t="s">
        <v>589</v>
      </c>
      <c r="G363" s="4" t="s">
        <v>24</v>
      </c>
      <c r="H363" s="4" t="s">
        <v>346</v>
      </c>
      <c r="I363" s="4" t="s">
        <v>1112</v>
      </c>
      <c r="J363" s="4" t="s">
        <v>1113</v>
      </c>
      <c r="K363" s="5">
        <v>44777</v>
      </c>
      <c r="L363" s="5">
        <v>44864</v>
      </c>
      <c r="M363" s="5">
        <v>44868</v>
      </c>
      <c r="N363" s="6">
        <f t="shared" si="25"/>
        <v>4</v>
      </c>
      <c r="O363" s="4" t="s">
        <v>28</v>
      </c>
      <c r="P363" s="4">
        <v>4561.72</v>
      </c>
      <c r="Q363" s="4"/>
      <c r="R363" s="4" t="str">
        <f t="shared" si="22"/>
        <v>2022</v>
      </c>
      <c r="S363" s="4" t="str">
        <f t="shared" si="23"/>
        <v>October</v>
      </c>
      <c r="T363" s="4">
        <f t="shared" si="24"/>
        <v>4561.72</v>
      </c>
      <c r="U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row>
    <row r="364" spans="1:53" ht="19.95" customHeight="1">
      <c r="A364" s="4">
        <v>363</v>
      </c>
      <c r="B364" s="4" t="s">
        <v>1114</v>
      </c>
      <c r="C364" s="4" t="s">
        <v>20</v>
      </c>
      <c r="D364" s="4" t="s">
        <v>21</v>
      </c>
      <c r="E364" s="4" t="s">
        <v>455</v>
      </c>
      <c r="F364" s="4" t="s">
        <v>210</v>
      </c>
      <c r="G364" s="4" t="s">
        <v>24</v>
      </c>
      <c r="H364" s="4" t="s">
        <v>1115</v>
      </c>
      <c r="I364" s="4" t="s">
        <v>1116</v>
      </c>
      <c r="J364" s="4" t="s">
        <v>1117</v>
      </c>
      <c r="K364" s="5">
        <v>44767</v>
      </c>
      <c r="L364" s="5">
        <v>44777</v>
      </c>
      <c r="M364" s="5">
        <v>44792</v>
      </c>
      <c r="N364" s="6">
        <f t="shared" si="25"/>
        <v>15</v>
      </c>
      <c r="O364" s="4" t="s">
        <v>28</v>
      </c>
      <c r="P364" s="4">
        <v>1649.22</v>
      </c>
      <c r="Q364" s="4"/>
      <c r="R364" s="4" t="str">
        <f t="shared" si="22"/>
        <v>2022</v>
      </c>
      <c r="S364" s="4" t="str">
        <f t="shared" si="23"/>
        <v>August</v>
      </c>
      <c r="T364" s="4">
        <f t="shared" si="24"/>
        <v>1649.22</v>
      </c>
      <c r="U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row>
    <row r="365" spans="1:53" ht="19.95" customHeight="1">
      <c r="A365" s="4">
        <v>364</v>
      </c>
      <c r="B365" s="4" t="s">
        <v>1118</v>
      </c>
      <c r="C365" s="4" t="s">
        <v>20</v>
      </c>
      <c r="D365" s="4" t="s">
        <v>21</v>
      </c>
      <c r="E365" s="4" t="s">
        <v>39</v>
      </c>
      <c r="F365" s="4" t="s">
        <v>23</v>
      </c>
      <c r="G365" s="4" t="s">
        <v>24</v>
      </c>
      <c r="H365" s="4" t="s">
        <v>25</v>
      </c>
      <c r="I365" s="4" t="s">
        <v>1119</v>
      </c>
      <c r="J365" s="4" t="s">
        <v>1120</v>
      </c>
      <c r="K365" s="5">
        <v>44754</v>
      </c>
      <c r="L365" s="5">
        <v>44755</v>
      </c>
      <c r="M365" s="5">
        <v>44775</v>
      </c>
      <c r="N365" s="6">
        <f t="shared" si="25"/>
        <v>20</v>
      </c>
      <c r="O365" s="4" t="s">
        <v>28</v>
      </c>
      <c r="P365" s="4">
        <v>2310.4499999999998</v>
      </c>
      <c r="Q365" s="4"/>
      <c r="R365" s="4" t="str">
        <f t="shared" si="22"/>
        <v>2022</v>
      </c>
      <c r="S365" s="4" t="str">
        <f t="shared" si="23"/>
        <v>July</v>
      </c>
      <c r="T365" s="4">
        <f t="shared" si="24"/>
        <v>2310.4499999999998</v>
      </c>
      <c r="U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row>
    <row r="366" spans="1:53" ht="19.95" customHeight="1">
      <c r="A366" s="4">
        <v>365</v>
      </c>
      <c r="B366" s="4" t="s">
        <v>1121</v>
      </c>
      <c r="C366" s="4" t="s">
        <v>65</v>
      </c>
      <c r="D366" s="4" t="s">
        <v>56</v>
      </c>
      <c r="E366" s="4" t="s">
        <v>345</v>
      </c>
      <c r="F366" s="4" t="s">
        <v>589</v>
      </c>
      <c r="G366" s="4" t="s">
        <v>24</v>
      </c>
      <c r="H366" s="4" t="s">
        <v>346</v>
      </c>
      <c r="I366" s="4" t="s">
        <v>1122</v>
      </c>
      <c r="J366" s="4" t="s">
        <v>1113</v>
      </c>
      <c r="K366" s="5">
        <v>44754</v>
      </c>
      <c r="L366" s="5">
        <v>44852</v>
      </c>
      <c r="M366" s="5">
        <v>44864</v>
      </c>
      <c r="N366" s="6">
        <f t="shared" si="25"/>
        <v>12</v>
      </c>
      <c r="O366" s="4" t="s">
        <v>28</v>
      </c>
      <c r="P366" s="4">
        <v>4390.63</v>
      </c>
      <c r="Q366" s="4"/>
      <c r="R366" s="4" t="str">
        <f t="shared" si="22"/>
        <v>2022</v>
      </c>
      <c r="S366" s="4" t="str">
        <f t="shared" si="23"/>
        <v>October</v>
      </c>
      <c r="T366" s="4">
        <f t="shared" si="24"/>
        <v>4390.63</v>
      </c>
      <c r="U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row>
    <row r="367" spans="1:53" ht="19.95" customHeight="1">
      <c r="A367" s="4">
        <v>366</v>
      </c>
      <c r="B367" s="4" t="s">
        <v>1123</v>
      </c>
      <c r="C367" s="4" t="s">
        <v>20</v>
      </c>
      <c r="D367" s="4" t="s">
        <v>21</v>
      </c>
      <c r="E367" s="4" t="s">
        <v>1124</v>
      </c>
      <c r="F367" s="4" t="s">
        <v>23</v>
      </c>
      <c r="G367" s="4" t="s">
        <v>24</v>
      </c>
      <c r="H367" s="4" t="s">
        <v>25</v>
      </c>
      <c r="I367" s="4" t="s">
        <v>1125</v>
      </c>
      <c r="J367" s="4" t="s">
        <v>1126</v>
      </c>
      <c r="K367" s="5">
        <v>44749</v>
      </c>
      <c r="L367" s="5">
        <v>44854</v>
      </c>
      <c r="M367" s="5">
        <v>44865</v>
      </c>
      <c r="N367" s="6">
        <f t="shared" si="25"/>
        <v>11</v>
      </c>
      <c r="O367" s="4" t="s">
        <v>28</v>
      </c>
      <c r="P367" s="4">
        <v>8480.89</v>
      </c>
      <c r="Q367" s="4"/>
      <c r="R367" s="4" t="str">
        <f t="shared" si="22"/>
        <v>2022</v>
      </c>
      <c r="S367" s="4" t="str">
        <f t="shared" si="23"/>
        <v>October</v>
      </c>
      <c r="T367" s="4">
        <f t="shared" si="24"/>
        <v>8480.89</v>
      </c>
      <c r="U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row>
    <row r="368" spans="1:53" ht="19.95" customHeight="1">
      <c r="A368" s="4">
        <v>367</v>
      </c>
      <c r="B368" s="4" t="s">
        <v>1127</v>
      </c>
      <c r="C368" s="4" t="s">
        <v>65</v>
      </c>
      <c r="D368" s="4" t="s">
        <v>75</v>
      </c>
      <c r="E368" s="4" t="s">
        <v>672</v>
      </c>
      <c r="F368" s="4" t="s">
        <v>43</v>
      </c>
      <c r="G368" s="4" t="s">
        <v>24</v>
      </c>
      <c r="H368" s="4" t="s">
        <v>44</v>
      </c>
      <c r="I368" s="4" t="s">
        <v>1128</v>
      </c>
      <c r="J368" s="4" t="s">
        <v>1129</v>
      </c>
      <c r="K368" s="5">
        <v>44728</v>
      </c>
      <c r="L368" s="5">
        <v>44978</v>
      </c>
      <c r="M368" s="5">
        <v>44986</v>
      </c>
      <c r="N368" s="6">
        <f t="shared" si="25"/>
        <v>8</v>
      </c>
      <c r="O368" s="4" t="s">
        <v>28</v>
      </c>
      <c r="P368" s="4">
        <v>27514.7</v>
      </c>
      <c r="Q368" s="4"/>
      <c r="R368" s="4" t="str">
        <f t="shared" si="22"/>
        <v>2023</v>
      </c>
      <c r="S368" s="4" t="str">
        <f t="shared" si="23"/>
        <v>February</v>
      </c>
      <c r="T368" s="4">
        <f t="shared" si="24"/>
        <v>27514.7</v>
      </c>
      <c r="U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row>
    <row r="369" spans="1:53" ht="19.95" customHeight="1">
      <c r="A369" s="4">
        <v>368</v>
      </c>
      <c r="B369" s="4" t="s">
        <v>1130</v>
      </c>
      <c r="C369" s="4" t="s">
        <v>20</v>
      </c>
      <c r="D369" s="4" t="s">
        <v>21</v>
      </c>
      <c r="E369" s="4" t="s">
        <v>76</v>
      </c>
      <c r="F369" s="4" t="s">
        <v>43</v>
      </c>
      <c r="G369" s="4" t="s">
        <v>24</v>
      </c>
      <c r="H369" s="4" t="s">
        <v>44</v>
      </c>
      <c r="I369" s="4" t="s">
        <v>1131</v>
      </c>
      <c r="J369" s="4" t="s">
        <v>1132</v>
      </c>
      <c r="K369" s="5">
        <v>44690</v>
      </c>
      <c r="L369" s="5">
        <v>44694</v>
      </c>
      <c r="M369" s="5">
        <v>44695</v>
      </c>
      <c r="N369" s="6">
        <f t="shared" si="25"/>
        <v>1</v>
      </c>
      <c r="O369" s="4" t="s">
        <v>28</v>
      </c>
      <c r="P369" s="4">
        <v>132</v>
      </c>
      <c r="Q369" s="4"/>
      <c r="R369" s="4" t="str">
        <f t="shared" si="22"/>
        <v>2022</v>
      </c>
      <c r="S369" s="4" t="str">
        <f t="shared" si="23"/>
        <v>May</v>
      </c>
      <c r="T369" s="4">
        <f t="shared" si="24"/>
        <v>132</v>
      </c>
      <c r="U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row>
    <row r="370" spans="1:53" ht="19.95" customHeight="1">
      <c r="A370" s="4">
        <v>369</v>
      </c>
      <c r="B370" s="4" t="s">
        <v>1133</v>
      </c>
      <c r="C370" s="4" t="s">
        <v>20</v>
      </c>
      <c r="D370" s="4" t="s">
        <v>38</v>
      </c>
      <c r="E370" s="4" t="s">
        <v>455</v>
      </c>
      <c r="F370" s="4" t="s">
        <v>48</v>
      </c>
      <c r="G370" s="4" t="s">
        <v>24</v>
      </c>
      <c r="H370" s="4" t="s">
        <v>49</v>
      </c>
      <c r="I370" s="4" t="s">
        <v>1134</v>
      </c>
      <c r="J370" s="4" t="s">
        <v>1135</v>
      </c>
      <c r="K370" s="5">
        <v>44687</v>
      </c>
      <c r="L370" s="5">
        <v>44745</v>
      </c>
      <c r="M370" s="5">
        <v>44756</v>
      </c>
      <c r="N370" s="6">
        <f t="shared" si="25"/>
        <v>11</v>
      </c>
      <c r="O370" s="4" t="s">
        <v>28</v>
      </c>
      <c r="P370" s="4">
        <v>7297.26</v>
      </c>
      <c r="Q370" s="4"/>
      <c r="R370" s="4" t="str">
        <f t="shared" si="22"/>
        <v>2022</v>
      </c>
      <c r="S370" s="4" t="str">
        <f t="shared" si="23"/>
        <v>July</v>
      </c>
      <c r="T370" s="4">
        <f t="shared" si="24"/>
        <v>7297.26</v>
      </c>
      <c r="U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row>
    <row r="371" spans="1:53" ht="19.95" customHeight="1">
      <c r="A371" s="4">
        <v>370</v>
      </c>
      <c r="B371" s="4" t="s">
        <v>1136</v>
      </c>
      <c r="C371" s="4" t="s">
        <v>20</v>
      </c>
      <c r="D371" s="4" t="s">
        <v>21</v>
      </c>
      <c r="E371" s="4" t="s">
        <v>1137</v>
      </c>
      <c r="F371" s="4" t="s">
        <v>48</v>
      </c>
      <c r="G371" s="4" t="s">
        <v>24</v>
      </c>
      <c r="H371" s="4" t="s">
        <v>49</v>
      </c>
      <c r="I371" s="4" t="s">
        <v>1138</v>
      </c>
      <c r="J371" s="4" t="s">
        <v>1139</v>
      </c>
      <c r="K371" s="5">
        <v>44685</v>
      </c>
      <c r="L371" s="5">
        <v>44743</v>
      </c>
      <c r="M371" s="5">
        <v>44748</v>
      </c>
      <c r="N371" s="6">
        <f t="shared" si="25"/>
        <v>5</v>
      </c>
      <c r="O371" s="4" t="s">
        <v>28</v>
      </c>
      <c r="P371" s="4">
        <v>3125.97</v>
      </c>
      <c r="Q371" s="4"/>
      <c r="R371" s="4" t="str">
        <f t="shared" si="22"/>
        <v>2022</v>
      </c>
      <c r="S371" s="4" t="str">
        <f t="shared" si="23"/>
        <v>July</v>
      </c>
      <c r="T371" s="4">
        <f t="shared" si="24"/>
        <v>3125.97</v>
      </c>
      <c r="U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row>
    <row r="372" spans="1:53" ht="19.95" customHeight="1">
      <c r="A372" s="4">
        <v>371</v>
      </c>
      <c r="B372" s="4" t="s">
        <v>1140</v>
      </c>
      <c r="C372" s="4" t="s">
        <v>65</v>
      </c>
      <c r="D372" s="4" t="s">
        <v>56</v>
      </c>
      <c r="E372" s="4" t="s">
        <v>345</v>
      </c>
      <c r="F372" s="4" t="s">
        <v>589</v>
      </c>
      <c r="G372" s="4" t="s">
        <v>24</v>
      </c>
      <c r="H372" s="4" t="s">
        <v>346</v>
      </c>
      <c r="I372" s="4" t="s">
        <v>1141</v>
      </c>
      <c r="J372" s="4" t="s">
        <v>1142</v>
      </c>
      <c r="K372" s="5">
        <v>44679</v>
      </c>
      <c r="L372" s="5">
        <v>44726</v>
      </c>
      <c r="M372" s="5">
        <v>44735</v>
      </c>
      <c r="N372" s="6">
        <f t="shared" si="25"/>
        <v>9</v>
      </c>
      <c r="O372" s="4" t="s">
        <v>28</v>
      </c>
      <c r="P372" s="4">
        <v>3604.59</v>
      </c>
      <c r="Q372" s="4"/>
      <c r="R372" s="4" t="str">
        <f t="shared" si="22"/>
        <v>2022</v>
      </c>
      <c r="S372" s="4" t="str">
        <f t="shared" si="23"/>
        <v>June</v>
      </c>
      <c r="T372" s="4">
        <f t="shared" si="24"/>
        <v>3604.59</v>
      </c>
      <c r="U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row>
    <row r="373" spans="1:53" ht="19.95" customHeight="1">
      <c r="A373" s="4">
        <v>372</v>
      </c>
      <c r="B373" s="4" t="s">
        <v>1143</v>
      </c>
      <c r="C373" s="4" t="s">
        <v>20</v>
      </c>
      <c r="D373" s="4" t="s">
        <v>21</v>
      </c>
      <c r="E373" s="4" t="s">
        <v>39</v>
      </c>
      <c r="F373" s="4" t="s">
        <v>210</v>
      </c>
      <c r="G373" s="4" t="s">
        <v>24</v>
      </c>
      <c r="H373" s="4" t="s">
        <v>211</v>
      </c>
      <c r="I373" s="4" t="s">
        <v>1144</v>
      </c>
      <c r="J373" s="4" t="s">
        <v>1145</v>
      </c>
      <c r="K373" s="5">
        <v>44671</v>
      </c>
      <c r="L373" s="5">
        <v>44674</v>
      </c>
      <c r="M373" s="5">
        <v>44688</v>
      </c>
      <c r="N373" s="6">
        <f t="shared" si="25"/>
        <v>14</v>
      </c>
      <c r="O373" s="4" t="s">
        <v>28</v>
      </c>
      <c r="P373" s="4">
        <v>1035</v>
      </c>
      <c r="Q373" s="4"/>
      <c r="R373" s="4" t="str">
        <f t="shared" si="22"/>
        <v>2022</v>
      </c>
      <c r="S373" s="4" t="str">
        <f t="shared" si="23"/>
        <v>April</v>
      </c>
      <c r="T373" s="4">
        <f t="shared" si="24"/>
        <v>1035</v>
      </c>
      <c r="U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row>
    <row r="374" spans="1:53" ht="19.95" customHeight="1">
      <c r="A374" s="4">
        <v>373</v>
      </c>
      <c r="B374" s="4" t="s">
        <v>1146</v>
      </c>
      <c r="C374" s="4" t="s">
        <v>65</v>
      </c>
      <c r="D374" s="4" t="s">
        <v>56</v>
      </c>
      <c r="E374" s="4" t="s">
        <v>345</v>
      </c>
      <c r="F374" s="4" t="s">
        <v>589</v>
      </c>
      <c r="G374" s="4" t="s">
        <v>24</v>
      </c>
      <c r="H374" s="4" t="s">
        <v>346</v>
      </c>
      <c r="I374" s="4" t="s">
        <v>1147</v>
      </c>
      <c r="J374" s="4" t="s">
        <v>1148</v>
      </c>
      <c r="K374" s="5">
        <v>44664</v>
      </c>
      <c r="L374" s="5">
        <v>44747</v>
      </c>
      <c r="M374" s="5">
        <v>44759</v>
      </c>
      <c r="N374" s="6">
        <f t="shared" si="25"/>
        <v>12</v>
      </c>
      <c r="O374" s="4" t="s">
        <v>28</v>
      </c>
      <c r="P374" s="4">
        <v>6846.47</v>
      </c>
      <c r="Q374" s="4"/>
      <c r="R374" s="4" t="str">
        <f t="shared" si="22"/>
        <v>2022</v>
      </c>
      <c r="S374" s="4" t="str">
        <f t="shared" si="23"/>
        <v>July</v>
      </c>
      <c r="T374" s="4">
        <f t="shared" si="24"/>
        <v>6846.47</v>
      </c>
      <c r="U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row>
    <row r="375" spans="1:53" ht="19.95" customHeight="1">
      <c r="A375" s="4">
        <v>374</v>
      </c>
      <c r="B375" s="4" t="s">
        <v>1149</v>
      </c>
      <c r="C375" s="4" t="s">
        <v>65</v>
      </c>
      <c r="D375" s="4" t="s">
        <v>21</v>
      </c>
      <c r="E375" s="4" t="s">
        <v>455</v>
      </c>
      <c r="F375" s="4" t="s">
        <v>43</v>
      </c>
      <c r="G375" s="4" t="s">
        <v>24</v>
      </c>
      <c r="H375" s="4" t="s">
        <v>44</v>
      </c>
      <c r="I375" s="4" t="s">
        <v>1150</v>
      </c>
      <c r="J375" s="4" t="s">
        <v>1151</v>
      </c>
      <c r="K375" s="5">
        <v>44655</v>
      </c>
      <c r="L375" s="5">
        <v>44910</v>
      </c>
      <c r="M375" s="5">
        <v>44921</v>
      </c>
      <c r="N375" s="6">
        <f t="shared" si="25"/>
        <v>11</v>
      </c>
      <c r="O375" s="4" t="s">
        <v>28</v>
      </c>
      <c r="P375" s="4">
        <v>17937.04</v>
      </c>
      <c r="Q375" s="4"/>
      <c r="R375" s="4" t="str">
        <f t="shared" si="22"/>
        <v>2022</v>
      </c>
      <c r="S375" s="4" t="str">
        <f t="shared" si="23"/>
        <v>December</v>
      </c>
      <c r="T375" s="4">
        <f t="shared" si="24"/>
        <v>17937.04</v>
      </c>
      <c r="U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row>
    <row r="376" spans="1:53" ht="19.95" customHeight="1">
      <c r="A376" s="4">
        <v>375</v>
      </c>
      <c r="B376" s="4" t="s">
        <v>1152</v>
      </c>
      <c r="C376" s="4" t="s">
        <v>65</v>
      </c>
      <c r="D376" s="4" t="s">
        <v>56</v>
      </c>
      <c r="E376" s="4" t="s">
        <v>345</v>
      </c>
      <c r="F376" s="4" t="s">
        <v>589</v>
      </c>
      <c r="G376" s="4" t="s">
        <v>24</v>
      </c>
      <c r="H376" s="4" t="s">
        <v>346</v>
      </c>
      <c r="I376" s="4" t="s">
        <v>1153</v>
      </c>
      <c r="J376" s="4" t="s">
        <v>1154</v>
      </c>
      <c r="K376" s="5">
        <v>44648</v>
      </c>
      <c r="L376" s="5">
        <v>44666</v>
      </c>
      <c r="M376" s="5">
        <v>44669</v>
      </c>
      <c r="N376" s="6">
        <f t="shared" si="25"/>
        <v>3</v>
      </c>
      <c r="O376" s="4" t="s">
        <v>28</v>
      </c>
      <c r="P376" s="4">
        <v>6870</v>
      </c>
      <c r="Q376" s="4"/>
      <c r="R376" s="4" t="str">
        <f t="shared" si="22"/>
        <v>2022</v>
      </c>
      <c r="S376" s="4" t="str">
        <f t="shared" si="23"/>
        <v>April</v>
      </c>
      <c r="T376" s="4">
        <f t="shared" si="24"/>
        <v>6870</v>
      </c>
      <c r="U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row>
    <row r="377" spans="1:53" ht="19.95" customHeight="1">
      <c r="A377" s="4">
        <v>376</v>
      </c>
      <c r="B377" s="4" t="s">
        <v>1155</v>
      </c>
      <c r="C377" s="4" t="s">
        <v>65</v>
      </c>
      <c r="D377" s="4" t="s">
        <v>21</v>
      </c>
      <c r="E377" s="4" t="s">
        <v>455</v>
      </c>
      <c r="F377" s="4" t="s">
        <v>23</v>
      </c>
      <c r="G377" s="4" t="s">
        <v>24</v>
      </c>
      <c r="H377" s="4" t="s">
        <v>25</v>
      </c>
      <c r="I377" s="4" t="s">
        <v>1156</v>
      </c>
      <c r="J377" s="4" t="s">
        <v>1157</v>
      </c>
      <c r="K377" s="5">
        <v>44645</v>
      </c>
      <c r="L377" s="5">
        <v>44655</v>
      </c>
      <c r="M377" s="5">
        <v>44658</v>
      </c>
      <c r="N377" s="6">
        <f t="shared" si="25"/>
        <v>3</v>
      </c>
      <c r="O377" s="4" t="s">
        <v>28</v>
      </c>
      <c r="P377" s="4">
        <v>684.82</v>
      </c>
      <c r="Q377" s="4"/>
      <c r="R377" s="4" t="str">
        <f t="shared" si="22"/>
        <v>2022</v>
      </c>
      <c r="S377" s="4" t="str">
        <f t="shared" si="23"/>
        <v>April</v>
      </c>
      <c r="T377" s="4">
        <f t="shared" si="24"/>
        <v>684.82</v>
      </c>
      <c r="U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row>
    <row r="378" spans="1:53" ht="19.95" customHeight="1">
      <c r="A378" s="4">
        <v>377</v>
      </c>
      <c r="B378" s="4" t="s">
        <v>1158</v>
      </c>
      <c r="C378" s="4" t="s">
        <v>20</v>
      </c>
      <c r="D378" s="4" t="s">
        <v>21</v>
      </c>
      <c r="E378" s="4" t="s">
        <v>455</v>
      </c>
      <c r="F378" s="4" t="s">
        <v>1159</v>
      </c>
      <c r="G378" s="4" t="s">
        <v>24</v>
      </c>
      <c r="H378" s="4" t="s">
        <v>1160</v>
      </c>
      <c r="I378" s="4" t="s">
        <v>1161</v>
      </c>
      <c r="J378" s="4" t="s">
        <v>1162</v>
      </c>
      <c r="K378" s="5">
        <v>44644</v>
      </c>
      <c r="L378" s="5">
        <v>44658</v>
      </c>
      <c r="M378" s="5">
        <v>44666</v>
      </c>
      <c r="N378" s="6">
        <f t="shared" si="25"/>
        <v>8</v>
      </c>
      <c r="O378" s="4" t="s">
        <v>28</v>
      </c>
      <c r="P378" s="4">
        <v>627.66999999999996</v>
      </c>
      <c r="Q378" s="4"/>
      <c r="R378" s="4" t="str">
        <f t="shared" si="22"/>
        <v>2022</v>
      </c>
      <c r="S378" s="4" t="str">
        <f t="shared" si="23"/>
        <v>April</v>
      </c>
      <c r="T378" s="4">
        <f t="shared" si="24"/>
        <v>627.66999999999996</v>
      </c>
      <c r="U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row>
    <row r="379" spans="1:53" ht="19.95" customHeight="1">
      <c r="A379" s="4">
        <v>378</v>
      </c>
      <c r="B379" s="4" t="s">
        <v>1163</v>
      </c>
      <c r="C379" s="4" t="s">
        <v>20</v>
      </c>
      <c r="D379" s="4" t="s">
        <v>21</v>
      </c>
      <c r="E379" s="4" t="s">
        <v>39</v>
      </c>
      <c r="F379" s="4" t="s">
        <v>23</v>
      </c>
      <c r="G379" s="4" t="s">
        <v>24</v>
      </c>
      <c r="H379" s="4" t="s">
        <v>25</v>
      </c>
      <c r="I379" s="4" t="s">
        <v>1164</v>
      </c>
      <c r="J379" s="4" t="s">
        <v>1165</v>
      </c>
      <c r="K379" s="5">
        <v>44644</v>
      </c>
      <c r="L379" s="5">
        <v>44756</v>
      </c>
      <c r="M379" s="5">
        <v>44772</v>
      </c>
      <c r="N379" s="6">
        <f t="shared" si="25"/>
        <v>16</v>
      </c>
      <c r="O379" s="4" t="s">
        <v>28</v>
      </c>
      <c r="P379" s="4">
        <v>7697.47</v>
      </c>
      <c r="Q379" s="4"/>
      <c r="R379" s="4" t="str">
        <f t="shared" si="22"/>
        <v>2022</v>
      </c>
      <c r="S379" s="4" t="str">
        <f t="shared" si="23"/>
        <v>July</v>
      </c>
      <c r="T379" s="4">
        <f t="shared" si="24"/>
        <v>7697.47</v>
      </c>
      <c r="U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row>
    <row r="380" spans="1:53" ht="19.95" customHeight="1">
      <c r="A380" s="4">
        <v>379</v>
      </c>
      <c r="B380" s="4" t="s">
        <v>1166</v>
      </c>
      <c r="C380" s="4" t="s">
        <v>20</v>
      </c>
      <c r="D380" s="4" t="s">
        <v>21</v>
      </c>
      <c r="E380" s="4" t="s">
        <v>455</v>
      </c>
      <c r="F380" s="4" t="s">
        <v>23</v>
      </c>
      <c r="G380" s="4" t="s">
        <v>24</v>
      </c>
      <c r="H380" s="4" t="s">
        <v>25</v>
      </c>
      <c r="I380" s="4" t="s">
        <v>1167</v>
      </c>
      <c r="J380" s="4" t="s">
        <v>1168</v>
      </c>
      <c r="K380" s="5">
        <v>44644</v>
      </c>
      <c r="L380" s="5">
        <v>44661</v>
      </c>
      <c r="M380" s="5">
        <v>44661</v>
      </c>
      <c r="N380" s="6">
        <f t="shared" si="25"/>
        <v>0</v>
      </c>
      <c r="O380" s="4" t="s">
        <v>28</v>
      </c>
      <c r="P380" s="4">
        <v>179.95</v>
      </c>
      <c r="Q380" s="4"/>
      <c r="R380" s="4" t="str">
        <f t="shared" si="22"/>
        <v>2022</v>
      </c>
      <c r="S380" s="4" t="str">
        <f t="shared" si="23"/>
        <v>April</v>
      </c>
      <c r="T380" s="4">
        <f t="shared" si="24"/>
        <v>179.95</v>
      </c>
      <c r="U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row>
    <row r="381" spans="1:53" ht="19.95" customHeight="1">
      <c r="A381" s="4">
        <v>380</v>
      </c>
      <c r="B381" s="4" t="s">
        <v>1169</v>
      </c>
      <c r="C381" s="4" t="s">
        <v>20</v>
      </c>
      <c r="D381" s="4" t="s">
        <v>21</v>
      </c>
      <c r="E381" s="4" t="s">
        <v>455</v>
      </c>
      <c r="F381" s="4" t="s">
        <v>23</v>
      </c>
      <c r="G381" s="4" t="s">
        <v>24</v>
      </c>
      <c r="H381" s="4" t="s">
        <v>25</v>
      </c>
      <c r="I381" s="4" t="s">
        <v>1170</v>
      </c>
      <c r="J381" s="4" t="s">
        <v>1171</v>
      </c>
      <c r="K381" s="5">
        <v>44644</v>
      </c>
      <c r="L381" s="5">
        <v>44834</v>
      </c>
      <c r="M381" s="5">
        <v>44841</v>
      </c>
      <c r="N381" s="6">
        <f t="shared" si="25"/>
        <v>7</v>
      </c>
      <c r="O381" s="4" t="s">
        <v>28</v>
      </c>
      <c r="P381" s="4">
        <v>887</v>
      </c>
      <c r="Q381" s="4"/>
      <c r="R381" s="4" t="str">
        <f t="shared" si="22"/>
        <v>2022</v>
      </c>
      <c r="S381" s="4" t="str">
        <f t="shared" si="23"/>
        <v>September</v>
      </c>
      <c r="T381" s="4">
        <f t="shared" si="24"/>
        <v>887</v>
      </c>
      <c r="U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row>
    <row r="382" spans="1:53" ht="19.95" customHeight="1">
      <c r="A382" s="4">
        <v>381</v>
      </c>
      <c r="B382" s="4" t="s">
        <v>1172</v>
      </c>
      <c r="C382" s="4" t="s">
        <v>20</v>
      </c>
      <c r="D382" s="4" t="s">
        <v>21</v>
      </c>
      <c r="E382" s="4" t="s">
        <v>455</v>
      </c>
      <c r="F382" s="4" t="s">
        <v>23</v>
      </c>
      <c r="G382" s="4" t="s">
        <v>24</v>
      </c>
      <c r="H382" s="4" t="s">
        <v>25</v>
      </c>
      <c r="I382" s="4" t="s">
        <v>1173</v>
      </c>
      <c r="J382" s="4" t="s">
        <v>1174</v>
      </c>
      <c r="K382" s="5">
        <v>44644</v>
      </c>
      <c r="L382" s="5">
        <v>44660</v>
      </c>
      <c r="M382" s="5">
        <v>44669</v>
      </c>
      <c r="N382" s="6">
        <f t="shared" si="25"/>
        <v>9</v>
      </c>
      <c r="O382" s="4" t="s">
        <v>28</v>
      </c>
      <c r="P382" s="4">
        <v>739.32</v>
      </c>
      <c r="Q382" s="4"/>
      <c r="R382" s="4" t="str">
        <f t="shared" si="22"/>
        <v>2022</v>
      </c>
      <c r="S382" s="4" t="str">
        <f t="shared" si="23"/>
        <v>April</v>
      </c>
      <c r="T382" s="4">
        <f t="shared" si="24"/>
        <v>739.32</v>
      </c>
      <c r="U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row>
    <row r="383" spans="1:53" ht="19.95" customHeight="1">
      <c r="A383" s="4">
        <v>382</v>
      </c>
      <c r="B383" s="4" t="s">
        <v>1175</v>
      </c>
      <c r="C383" s="4" t="s">
        <v>20</v>
      </c>
      <c r="D383" s="4" t="s">
        <v>21</v>
      </c>
      <c r="E383" s="4" t="s">
        <v>455</v>
      </c>
      <c r="F383" s="4" t="s">
        <v>23</v>
      </c>
      <c r="G383" s="4" t="s">
        <v>24</v>
      </c>
      <c r="H383" s="4" t="s">
        <v>1176</v>
      </c>
      <c r="I383" s="4" t="s">
        <v>1177</v>
      </c>
      <c r="J383" s="4" t="s">
        <v>1178</v>
      </c>
      <c r="K383" s="5">
        <v>44642</v>
      </c>
      <c r="L383" s="5">
        <v>44656</v>
      </c>
      <c r="M383" s="5">
        <v>44666</v>
      </c>
      <c r="N383" s="6">
        <f t="shared" si="25"/>
        <v>10</v>
      </c>
      <c r="O383" s="4" t="s">
        <v>28</v>
      </c>
      <c r="P383" s="4">
        <v>6155.58</v>
      </c>
      <c r="Q383" s="4"/>
      <c r="R383" s="4" t="str">
        <f t="shared" si="22"/>
        <v>2022</v>
      </c>
      <c r="S383" s="4" t="str">
        <f t="shared" si="23"/>
        <v>April</v>
      </c>
      <c r="T383" s="4">
        <f t="shared" si="24"/>
        <v>6155.58</v>
      </c>
      <c r="U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row>
    <row r="384" spans="1:53" ht="19.95" customHeight="1">
      <c r="A384" s="4">
        <v>383</v>
      </c>
      <c r="B384" s="4" t="s">
        <v>1179</v>
      </c>
      <c r="C384" s="4" t="s">
        <v>20</v>
      </c>
      <c r="D384" s="4" t="s">
        <v>21</v>
      </c>
      <c r="E384" s="4" t="s">
        <v>455</v>
      </c>
      <c r="F384" s="4" t="s">
        <v>23</v>
      </c>
      <c r="G384" s="4" t="s">
        <v>24</v>
      </c>
      <c r="H384" s="4" t="s">
        <v>25</v>
      </c>
      <c r="I384" s="4" t="s">
        <v>1180</v>
      </c>
      <c r="J384" s="4" t="s">
        <v>1181</v>
      </c>
      <c r="K384" s="5">
        <v>44642</v>
      </c>
      <c r="L384" s="5"/>
      <c r="M384" s="4"/>
      <c r="N384" s="6">
        <f t="shared" si="25"/>
        <v>0</v>
      </c>
      <c r="O384" s="4" t="s">
        <v>28</v>
      </c>
      <c r="P384" s="4">
        <v>45</v>
      </c>
      <c r="Q384" s="4"/>
      <c r="R384" s="4"/>
      <c r="S384" s="4" t="str">
        <f t="shared" si="23"/>
        <v>January</v>
      </c>
      <c r="T384" s="4">
        <f t="shared" si="24"/>
        <v>45</v>
      </c>
      <c r="U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row>
    <row r="385" spans="1:53" ht="19.95" customHeight="1">
      <c r="A385" s="4">
        <v>384</v>
      </c>
      <c r="B385" s="4" t="s">
        <v>1182</v>
      </c>
      <c r="C385" s="4" t="s">
        <v>20</v>
      </c>
      <c r="D385" s="4" t="s">
        <v>56</v>
      </c>
      <c r="E385" s="4" t="s">
        <v>455</v>
      </c>
      <c r="F385" s="4" t="s">
        <v>96</v>
      </c>
      <c r="G385" s="4" t="s">
        <v>24</v>
      </c>
      <c r="H385" s="4" t="s">
        <v>219</v>
      </c>
      <c r="I385" s="4" t="s">
        <v>1183</v>
      </c>
      <c r="J385" s="4" t="s">
        <v>1184</v>
      </c>
      <c r="K385" s="5">
        <v>44638</v>
      </c>
      <c r="L385" s="5">
        <v>44665</v>
      </c>
      <c r="M385" s="5">
        <v>44670</v>
      </c>
      <c r="N385" s="6">
        <f t="shared" ref="N385:N416" si="26">M385-L385</f>
        <v>5</v>
      </c>
      <c r="O385" s="4" t="s">
        <v>28</v>
      </c>
      <c r="P385" s="4">
        <v>1759.02</v>
      </c>
      <c r="Q385" s="4"/>
      <c r="R385" s="4" t="str">
        <f t="shared" si="22"/>
        <v>2022</v>
      </c>
      <c r="S385" s="4" t="str">
        <f t="shared" si="23"/>
        <v>April</v>
      </c>
      <c r="T385" s="4">
        <f t="shared" si="24"/>
        <v>1759.02</v>
      </c>
      <c r="U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row>
    <row r="386" spans="1:53" ht="19.95" customHeight="1">
      <c r="A386" s="4">
        <v>385</v>
      </c>
      <c r="B386" s="4" t="s">
        <v>1185</v>
      </c>
      <c r="C386" s="4" t="s">
        <v>20</v>
      </c>
      <c r="D386" s="4" t="s">
        <v>21</v>
      </c>
      <c r="E386" s="4" t="s">
        <v>39</v>
      </c>
      <c r="F386" s="4" t="s">
        <v>23</v>
      </c>
      <c r="G386" s="4" t="s">
        <v>24</v>
      </c>
      <c r="H386" s="4" t="s">
        <v>25</v>
      </c>
      <c r="I386" s="4" t="s">
        <v>1186</v>
      </c>
      <c r="J386" s="4" t="s">
        <v>1187</v>
      </c>
      <c r="K386" s="5">
        <v>44637</v>
      </c>
      <c r="L386" s="5">
        <v>44658</v>
      </c>
      <c r="M386" s="5">
        <v>44672</v>
      </c>
      <c r="N386" s="6">
        <f t="shared" si="26"/>
        <v>14</v>
      </c>
      <c r="O386" s="4" t="s">
        <v>28</v>
      </c>
      <c r="P386" s="4">
        <v>13601.23</v>
      </c>
      <c r="Q386" s="4"/>
      <c r="R386" s="4" t="str">
        <f t="shared" ref="R386:R449" si="27">TEXT(L386,"YYY")</f>
        <v>2022</v>
      </c>
      <c r="S386" s="4" t="str">
        <f t="shared" ref="S386:S449" si="28">TEXT(L386,"MMMM")</f>
        <v>April</v>
      </c>
      <c r="T386" s="4">
        <f t="shared" ref="T386:T449" si="29">P386</f>
        <v>13601.23</v>
      </c>
      <c r="U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row>
    <row r="387" spans="1:53" ht="19.95" customHeight="1">
      <c r="A387" s="4">
        <v>386</v>
      </c>
      <c r="B387" s="4" t="s">
        <v>1188</v>
      </c>
      <c r="C387" s="4" t="s">
        <v>20</v>
      </c>
      <c r="D387" s="4" t="s">
        <v>21</v>
      </c>
      <c r="E387" s="4" t="s">
        <v>455</v>
      </c>
      <c r="F387" s="4" t="s">
        <v>23</v>
      </c>
      <c r="G387" s="4" t="s">
        <v>24</v>
      </c>
      <c r="H387" s="4" t="s">
        <v>25</v>
      </c>
      <c r="I387" s="4" t="s">
        <v>1189</v>
      </c>
      <c r="J387" s="4" t="s">
        <v>1190</v>
      </c>
      <c r="K387" s="5">
        <v>44636</v>
      </c>
      <c r="L387" s="5">
        <v>44670</v>
      </c>
      <c r="M387" s="5">
        <v>44684</v>
      </c>
      <c r="N387" s="6">
        <f t="shared" si="26"/>
        <v>14</v>
      </c>
      <c r="O387" s="4" t="s">
        <v>28</v>
      </c>
      <c r="P387" s="4">
        <v>5991.4</v>
      </c>
      <c r="Q387" s="4"/>
      <c r="R387" s="4" t="str">
        <f t="shared" si="27"/>
        <v>2022</v>
      </c>
      <c r="S387" s="4" t="str">
        <f t="shared" si="28"/>
        <v>April</v>
      </c>
      <c r="T387" s="4">
        <f t="shared" si="29"/>
        <v>5991.4</v>
      </c>
      <c r="U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row>
    <row r="388" spans="1:53" ht="19.95" customHeight="1">
      <c r="A388" s="4">
        <v>387</v>
      </c>
      <c r="B388" s="4" t="s">
        <v>1191</v>
      </c>
      <c r="C388" s="4" t="s">
        <v>20</v>
      </c>
      <c r="D388" s="4" t="s">
        <v>21</v>
      </c>
      <c r="E388" s="4" t="s">
        <v>39</v>
      </c>
      <c r="F388" s="4" t="s">
        <v>23</v>
      </c>
      <c r="G388" s="4" t="s">
        <v>24</v>
      </c>
      <c r="H388" s="4" t="s">
        <v>25</v>
      </c>
      <c r="I388" s="4" t="s">
        <v>1192</v>
      </c>
      <c r="J388" s="4" t="s">
        <v>1193</v>
      </c>
      <c r="K388" s="5">
        <v>44635</v>
      </c>
      <c r="L388" s="5">
        <v>44909</v>
      </c>
      <c r="M388" s="5">
        <v>44928</v>
      </c>
      <c r="N388" s="6">
        <f t="shared" si="26"/>
        <v>19</v>
      </c>
      <c r="O388" s="4" t="s">
        <v>28</v>
      </c>
      <c r="P388" s="4">
        <v>13951.7</v>
      </c>
      <c r="Q388" s="4"/>
      <c r="R388" s="4" t="str">
        <f t="shared" si="27"/>
        <v>2022</v>
      </c>
      <c r="S388" s="4" t="str">
        <f t="shared" si="28"/>
        <v>December</v>
      </c>
      <c r="T388" s="4">
        <f t="shared" si="29"/>
        <v>13951.7</v>
      </c>
      <c r="U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row>
    <row r="389" spans="1:53" ht="19.95" customHeight="1">
      <c r="A389" s="4">
        <v>388</v>
      </c>
      <c r="B389" s="4" t="s">
        <v>1194</v>
      </c>
      <c r="C389" s="4" t="s">
        <v>20</v>
      </c>
      <c r="D389" s="4" t="s">
        <v>21</v>
      </c>
      <c r="E389" s="4" t="s">
        <v>39</v>
      </c>
      <c r="F389" s="4" t="s">
        <v>23</v>
      </c>
      <c r="G389" s="4" t="s">
        <v>24</v>
      </c>
      <c r="H389" s="4" t="s">
        <v>25</v>
      </c>
      <c r="I389" s="4" t="s">
        <v>1195</v>
      </c>
      <c r="J389" s="4" t="s">
        <v>1196</v>
      </c>
      <c r="K389" s="5">
        <v>44634</v>
      </c>
      <c r="L389" s="5">
        <v>44639</v>
      </c>
      <c r="M389" s="5">
        <v>44648</v>
      </c>
      <c r="N389" s="6">
        <f t="shared" si="26"/>
        <v>9</v>
      </c>
      <c r="O389" s="4" t="s">
        <v>28</v>
      </c>
      <c r="P389" s="4">
        <v>660</v>
      </c>
      <c r="Q389" s="4"/>
      <c r="R389" s="4" t="str">
        <f t="shared" si="27"/>
        <v>2022</v>
      </c>
      <c r="S389" s="4" t="str">
        <f t="shared" si="28"/>
        <v>March</v>
      </c>
      <c r="T389" s="4">
        <f t="shared" si="29"/>
        <v>660</v>
      </c>
      <c r="U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row>
    <row r="390" spans="1:53" ht="19.95" customHeight="1">
      <c r="A390" s="4">
        <v>389</v>
      </c>
      <c r="B390" s="4" t="s">
        <v>1197</v>
      </c>
      <c r="C390" s="4" t="s">
        <v>65</v>
      </c>
      <c r="D390" s="4" t="s">
        <v>21</v>
      </c>
      <c r="E390" s="4" t="s">
        <v>455</v>
      </c>
      <c r="F390" s="4" t="s">
        <v>96</v>
      </c>
      <c r="G390" s="4" t="s">
        <v>24</v>
      </c>
      <c r="H390" s="4" t="s">
        <v>1198</v>
      </c>
      <c r="I390" s="4" t="s">
        <v>1199</v>
      </c>
      <c r="J390" s="4" t="s">
        <v>1200</v>
      </c>
      <c r="K390" s="5">
        <v>44634</v>
      </c>
      <c r="L390" s="5">
        <v>44644</v>
      </c>
      <c r="M390" s="5">
        <v>44653</v>
      </c>
      <c r="N390" s="6">
        <f t="shared" si="26"/>
        <v>9</v>
      </c>
      <c r="O390" s="4" t="s">
        <v>28</v>
      </c>
      <c r="P390" s="4">
        <v>2412.7600000000002</v>
      </c>
      <c r="Q390" s="4"/>
      <c r="R390" s="4" t="str">
        <f t="shared" si="27"/>
        <v>2022</v>
      </c>
      <c r="S390" s="4" t="str">
        <f t="shared" si="28"/>
        <v>March</v>
      </c>
      <c r="T390" s="4">
        <f t="shared" si="29"/>
        <v>2412.7600000000002</v>
      </c>
      <c r="U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row>
    <row r="391" spans="1:53" ht="19.95" customHeight="1">
      <c r="A391" s="4">
        <v>390</v>
      </c>
      <c r="B391" s="4" t="s">
        <v>1201</v>
      </c>
      <c r="C391" s="4" t="s">
        <v>20</v>
      </c>
      <c r="D391" s="4" t="s">
        <v>21</v>
      </c>
      <c r="E391" s="4" t="s">
        <v>455</v>
      </c>
      <c r="F391" s="4" t="s">
        <v>96</v>
      </c>
      <c r="G391" s="4" t="s">
        <v>24</v>
      </c>
      <c r="H391" s="4" t="s">
        <v>219</v>
      </c>
      <c r="I391" s="4" t="s">
        <v>1202</v>
      </c>
      <c r="J391" s="4" t="s">
        <v>1203</v>
      </c>
      <c r="K391" s="5">
        <v>44632</v>
      </c>
      <c r="L391" s="5">
        <v>44652</v>
      </c>
      <c r="M391" s="5">
        <v>44660</v>
      </c>
      <c r="N391" s="6">
        <f t="shared" si="26"/>
        <v>8</v>
      </c>
      <c r="O391" s="4" t="s">
        <v>28</v>
      </c>
      <c r="P391" s="4">
        <v>4661.84</v>
      </c>
      <c r="Q391" s="4"/>
      <c r="R391" s="4" t="str">
        <f t="shared" si="27"/>
        <v>2022</v>
      </c>
      <c r="S391" s="4" t="str">
        <f t="shared" si="28"/>
        <v>April</v>
      </c>
      <c r="T391" s="4">
        <f t="shared" si="29"/>
        <v>4661.84</v>
      </c>
      <c r="U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row>
    <row r="392" spans="1:53" ht="19.95" customHeight="1">
      <c r="A392" s="4">
        <v>391</v>
      </c>
      <c r="B392" s="4" t="s">
        <v>1204</v>
      </c>
      <c r="C392" s="4" t="s">
        <v>20</v>
      </c>
      <c r="D392" s="4" t="s">
        <v>21</v>
      </c>
      <c r="E392" s="4" t="s">
        <v>39</v>
      </c>
      <c r="F392" s="4" t="s">
        <v>96</v>
      </c>
      <c r="G392" s="4" t="s">
        <v>24</v>
      </c>
      <c r="H392" s="4" t="s">
        <v>254</v>
      </c>
      <c r="I392" s="4" t="s">
        <v>1205</v>
      </c>
      <c r="J392" s="4" t="s">
        <v>1206</v>
      </c>
      <c r="K392" s="5">
        <v>44632</v>
      </c>
      <c r="L392" s="5">
        <v>44640</v>
      </c>
      <c r="M392" s="5">
        <v>44653</v>
      </c>
      <c r="N392" s="6">
        <f t="shared" si="26"/>
        <v>13</v>
      </c>
      <c r="O392" s="4" t="s">
        <v>28</v>
      </c>
      <c r="P392" s="4">
        <v>3910.31</v>
      </c>
      <c r="Q392" s="4"/>
      <c r="R392" s="4" t="str">
        <f t="shared" si="27"/>
        <v>2022</v>
      </c>
      <c r="S392" s="4" t="str">
        <f t="shared" si="28"/>
        <v>March</v>
      </c>
      <c r="T392" s="4">
        <f t="shared" si="29"/>
        <v>3910.31</v>
      </c>
      <c r="U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row>
    <row r="393" spans="1:53" ht="19.95" customHeight="1">
      <c r="A393" s="4">
        <v>392</v>
      </c>
      <c r="B393" s="4" t="s">
        <v>1207</v>
      </c>
      <c r="C393" s="4" t="s">
        <v>65</v>
      </c>
      <c r="D393" s="4" t="s">
        <v>56</v>
      </c>
      <c r="E393" s="4" t="s">
        <v>455</v>
      </c>
      <c r="F393" s="4" t="s">
        <v>589</v>
      </c>
      <c r="G393" s="4" t="s">
        <v>24</v>
      </c>
      <c r="H393" s="4" t="s">
        <v>346</v>
      </c>
      <c r="I393" s="4" t="s">
        <v>1208</v>
      </c>
      <c r="J393" s="4" t="s">
        <v>1209</v>
      </c>
      <c r="K393" s="5">
        <v>44631</v>
      </c>
      <c r="L393" s="5">
        <v>44653</v>
      </c>
      <c r="M393" s="5">
        <v>44663</v>
      </c>
      <c r="N393" s="6">
        <f t="shared" si="26"/>
        <v>10</v>
      </c>
      <c r="O393" s="4" t="s">
        <v>28</v>
      </c>
      <c r="P393" s="4">
        <v>2550</v>
      </c>
      <c r="Q393" s="4"/>
      <c r="R393" s="4" t="str">
        <f t="shared" si="27"/>
        <v>2022</v>
      </c>
      <c r="S393" s="4" t="str">
        <f t="shared" si="28"/>
        <v>April</v>
      </c>
      <c r="T393" s="4">
        <f t="shared" si="29"/>
        <v>2550</v>
      </c>
      <c r="U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row>
    <row r="394" spans="1:53" ht="19.95" customHeight="1">
      <c r="A394" s="4">
        <v>393</v>
      </c>
      <c r="B394" s="4" t="s">
        <v>1210</v>
      </c>
      <c r="C394" s="4" t="s">
        <v>20</v>
      </c>
      <c r="D394" s="4" t="s">
        <v>56</v>
      </c>
      <c r="E394" s="4" t="s">
        <v>455</v>
      </c>
      <c r="F394" s="4" t="s">
        <v>331</v>
      </c>
      <c r="G394" s="4" t="s">
        <v>24</v>
      </c>
      <c r="H394" s="4" t="s">
        <v>331</v>
      </c>
      <c r="I394" s="4" t="s">
        <v>1211</v>
      </c>
      <c r="J394" s="4" t="s">
        <v>1212</v>
      </c>
      <c r="K394" s="5">
        <v>44631</v>
      </c>
      <c r="L394" s="5">
        <v>44638</v>
      </c>
      <c r="M394" s="5">
        <v>44647</v>
      </c>
      <c r="N394" s="6">
        <f t="shared" si="26"/>
        <v>9</v>
      </c>
      <c r="O394" s="4" t="s">
        <v>28</v>
      </c>
      <c r="P394" s="4">
        <v>4865.7</v>
      </c>
      <c r="Q394" s="4"/>
      <c r="R394" s="4" t="str">
        <f t="shared" si="27"/>
        <v>2022</v>
      </c>
      <c r="S394" s="4" t="str">
        <f t="shared" si="28"/>
        <v>March</v>
      </c>
      <c r="T394" s="4">
        <f t="shared" si="29"/>
        <v>4865.7</v>
      </c>
      <c r="U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row>
    <row r="395" spans="1:53" ht="19.95" customHeight="1">
      <c r="A395" s="4">
        <v>394</v>
      </c>
      <c r="B395" s="4" t="s">
        <v>1213</v>
      </c>
      <c r="C395" s="4" t="s">
        <v>65</v>
      </c>
      <c r="D395" s="4" t="s">
        <v>21</v>
      </c>
      <c r="E395" s="4" t="s">
        <v>39</v>
      </c>
      <c r="F395" s="4" t="s">
        <v>1214</v>
      </c>
      <c r="G395" s="4" t="s">
        <v>24</v>
      </c>
      <c r="H395" s="4" t="s">
        <v>1215</v>
      </c>
      <c r="I395" s="4" t="s">
        <v>1216</v>
      </c>
      <c r="J395" s="4" t="s">
        <v>1217</v>
      </c>
      <c r="K395" s="5">
        <v>44629</v>
      </c>
      <c r="L395" s="5">
        <v>44637</v>
      </c>
      <c r="M395" s="5">
        <v>44646</v>
      </c>
      <c r="N395" s="6">
        <f t="shared" si="26"/>
        <v>9</v>
      </c>
      <c r="O395" s="4" t="s">
        <v>28</v>
      </c>
      <c r="P395" s="4">
        <v>1277.45</v>
      </c>
      <c r="Q395" s="4"/>
      <c r="R395" s="4" t="str">
        <f t="shared" si="27"/>
        <v>2022</v>
      </c>
      <c r="S395" s="4" t="str">
        <f t="shared" si="28"/>
        <v>March</v>
      </c>
      <c r="T395" s="4">
        <f t="shared" si="29"/>
        <v>1277.45</v>
      </c>
      <c r="U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row>
    <row r="396" spans="1:53" ht="19.95" customHeight="1">
      <c r="A396" s="4">
        <v>395</v>
      </c>
      <c r="B396" s="4" t="s">
        <v>1218</v>
      </c>
      <c r="C396" s="4" t="s">
        <v>20</v>
      </c>
      <c r="D396" s="4" t="s">
        <v>21</v>
      </c>
      <c r="E396" s="4" t="s">
        <v>455</v>
      </c>
      <c r="F396" s="4" t="s">
        <v>23</v>
      </c>
      <c r="G396" s="4" t="s">
        <v>24</v>
      </c>
      <c r="H396" s="4" t="s">
        <v>25</v>
      </c>
      <c r="I396" s="4" t="s">
        <v>1219</v>
      </c>
      <c r="J396" s="4" t="s">
        <v>1220</v>
      </c>
      <c r="K396" s="5">
        <v>44627</v>
      </c>
      <c r="L396" s="5">
        <v>44681</v>
      </c>
      <c r="M396" s="5">
        <v>44694</v>
      </c>
      <c r="N396" s="6">
        <f t="shared" si="26"/>
        <v>13</v>
      </c>
      <c r="O396" s="4" t="s">
        <v>28</v>
      </c>
      <c r="P396" s="4">
        <v>4290.32</v>
      </c>
      <c r="Q396" s="4"/>
      <c r="R396" s="4" t="str">
        <f t="shared" si="27"/>
        <v>2022</v>
      </c>
      <c r="S396" s="4" t="str">
        <f t="shared" si="28"/>
        <v>April</v>
      </c>
      <c r="T396" s="4">
        <f t="shared" si="29"/>
        <v>4290.32</v>
      </c>
      <c r="U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row>
    <row r="397" spans="1:53" ht="19.95" customHeight="1">
      <c r="A397" s="4">
        <v>396</v>
      </c>
      <c r="B397" s="4" t="s">
        <v>1221</v>
      </c>
      <c r="C397" s="4" t="s">
        <v>20</v>
      </c>
      <c r="D397" s="4" t="s">
        <v>56</v>
      </c>
      <c r="E397" s="4" t="s">
        <v>455</v>
      </c>
      <c r="F397" s="4" t="s">
        <v>23</v>
      </c>
      <c r="G397" s="4" t="s">
        <v>24</v>
      </c>
      <c r="H397" s="4" t="s">
        <v>25</v>
      </c>
      <c r="I397" s="4" t="s">
        <v>1222</v>
      </c>
      <c r="J397" s="4" t="s">
        <v>1223</v>
      </c>
      <c r="K397" s="5">
        <v>44627</v>
      </c>
      <c r="L397" s="5">
        <v>44668</v>
      </c>
      <c r="M397" s="5">
        <v>44678</v>
      </c>
      <c r="N397" s="6">
        <f t="shared" si="26"/>
        <v>10</v>
      </c>
      <c r="O397" s="4" t="s">
        <v>28</v>
      </c>
      <c r="P397" s="4">
        <v>9071.0499999999993</v>
      </c>
      <c r="Q397" s="4"/>
      <c r="R397" s="4" t="str">
        <f t="shared" si="27"/>
        <v>2022</v>
      </c>
      <c r="S397" s="4" t="str">
        <f t="shared" si="28"/>
        <v>April</v>
      </c>
      <c r="T397" s="4">
        <f t="shared" si="29"/>
        <v>9071.0499999999993</v>
      </c>
      <c r="U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row>
    <row r="398" spans="1:53" ht="19.95" customHeight="1">
      <c r="A398" s="4">
        <v>397</v>
      </c>
      <c r="B398" s="4" t="s">
        <v>1224</v>
      </c>
      <c r="C398" s="4" t="s">
        <v>20</v>
      </c>
      <c r="D398" s="4" t="s">
        <v>21</v>
      </c>
      <c r="E398" s="4" t="s">
        <v>39</v>
      </c>
      <c r="F398" s="4" t="s">
        <v>23</v>
      </c>
      <c r="G398" s="4" t="s">
        <v>24</v>
      </c>
      <c r="H398" s="4" t="s">
        <v>25</v>
      </c>
      <c r="I398" s="4" t="s">
        <v>1225</v>
      </c>
      <c r="J398" s="4" t="s">
        <v>1226</v>
      </c>
      <c r="K398" s="5">
        <v>44627</v>
      </c>
      <c r="L398" s="5">
        <v>44745</v>
      </c>
      <c r="M398" s="5">
        <v>44766</v>
      </c>
      <c r="N398" s="6">
        <f t="shared" si="26"/>
        <v>21</v>
      </c>
      <c r="O398" s="4" t="s">
        <v>28</v>
      </c>
      <c r="P398" s="4">
        <v>16794.16</v>
      </c>
      <c r="Q398" s="4"/>
      <c r="R398" s="4" t="str">
        <f t="shared" si="27"/>
        <v>2022</v>
      </c>
      <c r="S398" s="4" t="str">
        <f t="shared" si="28"/>
        <v>July</v>
      </c>
      <c r="T398" s="4">
        <f t="shared" si="29"/>
        <v>16794.16</v>
      </c>
      <c r="U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row>
    <row r="399" spans="1:53" ht="19.95" customHeight="1">
      <c r="A399" s="4">
        <v>398</v>
      </c>
      <c r="B399" s="4" t="s">
        <v>1227</v>
      </c>
      <c r="C399" s="4" t="s">
        <v>20</v>
      </c>
      <c r="D399" s="4" t="s">
        <v>21</v>
      </c>
      <c r="E399" s="4" t="s">
        <v>39</v>
      </c>
      <c r="F399" s="4" t="s">
        <v>589</v>
      </c>
      <c r="G399" s="4" t="s">
        <v>24</v>
      </c>
      <c r="H399" s="4" t="s">
        <v>346</v>
      </c>
      <c r="I399" s="4" t="s">
        <v>1228</v>
      </c>
      <c r="J399" s="4" t="s">
        <v>1229</v>
      </c>
      <c r="K399" s="5">
        <v>44625</v>
      </c>
      <c r="L399" s="5">
        <v>44749</v>
      </c>
      <c r="M399" s="5">
        <v>44758</v>
      </c>
      <c r="N399" s="6">
        <f t="shared" si="26"/>
        <v>9</v>
      </c>
      <c r="O399" s="4" t="s">
        <v>28</v>
      </c>
      <c r="P399" s="4">
        <v>3555.7</v>
      </c>
      <c r="Q399" s="4"/>
      <c r="R399" s="4" t="str">
        <f t="shared" si="27"/>
        <v>2022</v>
      </c>
      <c r="S399" s="4" t="str">
        <f t="shared" si="28"/>
        <v>July</v>
      </c>
      <c r="T399" s="4">
        <f t="shared" si="29"/>
        <v>3555.7</v>
      </c>
      <c r="U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row>
    <row r="400" spans="1:53" ht="19.95" customHeight="1">
      <c r="A400" s="4">
        <v>399</v>
      </c>
      <c r="B400" s="4" t="s">
        <v>1230</v>
      </c>
      <c r="C400" s="4" t="s">
        <v>65</v>
      </c>
      <c r="D400" s="4" t="s">
        <v>56</v>
      </c>
      <c r="E400" s="4" t="s">
        <v>455</v>
      </c>
      <c r="F400" s="4" t="s">
        <v>23</v>
      </c>
      <c r="G400" s="4" t="s">
        <v>24</v>
      </c>
      <c r="H400" s="4" t="s">
        <v>25</v>
      </c>
      <c r="I400" s="4" t="s">
        <v>1231</v>
      </c>
      <c r="J400" s="4" t="s">
        <v>1232</v>
      </c>
      <c r="K400" s="5">
        <v>44624</v>
      </c>
      <c r="L400" s="5">
        <v>44675</v>
      </c>
      <c r="M400" s="5">
        <v>44688</v>
      </c>
      <c r="N400" s="6">
        <f t="shared" si="26"/>
        <v>13</v>
      </c>
      <c r="O400" s="4" t="s">
        <v>28</v>
      </c>
      <c r="P400" s="4">
        <v>6788.59</v>
      </c>
      <c r="Q400" s="4"/>
      <c r="R400" s="4" t="str">
        <f t="shared" si="27"/>
        <v>2022</v>
      </c>
      <c r="S400" s="4" t="str">
        <f t="shared" si="28"/>
        <v>April</v>
      </c>
      <c r="T400" s="4">
        <f t="shared" si="29"/>
        <v>6788.59</v>
      </c>
      <c r="U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row>
    <row r="401" spans="1:53" ht="19.95" customHeight="1">
      <c r="A401" s="4">
        <v>400</v>
      </c>
      <c r="B401" s="4" t="s">
        <v>1233</v>
      </c>
      <c r="C401" s="4" t="s">
        <v>65</v>
      </c>
      <c r="D401" s="4" t="s">
        <v>38</v>
      </c>
      <c r="E401" s="4" t="s">
        <v>455</v>
      </c>
      <c r="F401" s="4" t="s">
        <v>293</v>
      </c>
      <c r="G401" s="4" t="s">
        <v>24</v>
      </c>
      <c r="H401" s="4" t="s">
        <v>294</v>
      </c>
      <c r="I401" s="4" t="s">
        <v>1234</v>
      </c>
      <c r="J401" s="4" t="s">
        <v>1235</v>
      </c>
      <c r="K401" s="5">
        <v>44624</v>
      </c>
      <c r="L401" s="5">
        <v>44737</v>
      </c>
      <c r="M401" s="5">
        <v>44752</v>
      </c>
      <c r="N401" s="6">
        <f t="shared" si="26"/>
        <v>15</v>
      </c>
      <c r="O401" s="4" t="s">
        <v>28</v>
      </c>
      <c r="P401" s="4">
        <v>11930.08</v>
      </c>
      <c r="Q401" s="4"/>
      <c r="R401" s="4" t="str">
        <f t="shared" si="27"/>
        <v>2022</v>
      </c>
      <c r="S401" s="4" t="str">
        <f t="shared" si="28"/>
        <v>June</v>
      </c>
      <c r="T401" s="4">
        <f t="shared" si="29"/>
        <v>11930.08</v>
      </c>
      <c r="U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row>
    <row r="402" spans="1:53" ht="19.95" customHeight="1">
      <c r="A402" s="4">
        <v>401</v>
      </c>
      <c r="B402" s="4" t="s">
        <v>1236</v>
      </c>
      <c r="C402" s="4" t="s">
        <v>20</v>
      </c>
      <c r="D402" s="4" t="s">
        <v>56</v>
      </c>
      <c r="E402" s="4" t="s">
        <v>39</v>
      </c>
      <c r="F402" s="4" t="s">
        <v>23</v>
      </c>
      <c r="G402" s="4" t="s">
        <v>24</v>
      </c>
      <c r="H402" s="4" t="s">
        <v>25</v>
      </c>
      <c r="I402" s="4" t="s">
        <v>1237</v>
      </c>
      <c r="J402" s="4" t="s">
        <v>1238</v>
      </c>
      <c r="K402" s="5">
        <v>44622</v>
      </c>
      <c r="L402" s="5">
        <v>44661</v>
      </c>
      <c r="M402" s="5">
        <v>44665</v>
      </c>
      <c r="N402" s="6">
        <f t="shared" si="26"/>
        <v>4</v>
      </c>
      <c r="O402" s="4" t="s">
        <v>28</v>
      </c>
      <c r="P402" s="4">
        <v>5600</v>
      </c>
      <c r="Q402" s="4"/>
      <c r="R402" s="4" t="str">
        <f t="shared" si="27"/>
        <v>2022</v>
      </c>
      <c r="S402" s="4" t="str">
        <f t="shared" si="28"/>
        <v>April</v>
      </c>
      <c r="T402" s="4">
        <f t="shared" si="29"/>
        <v>5600</v>
      </c>
      <c r="U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row>
    <row r="403" spans="1:53" ht="19.95" customHeight="1">
      <c r="A403" s="4">
        <v>402</v>
      </c>
      <c r="B403" s="4" t="s">
        <v>1239</v>
      </c>
      <c r="C403" s="4" t="s">
        <v>65</v>
      </c>
      <c r="D403" s="4" t="s">
        <v>38</v>
      </c>
      <c r="E403" s="4" t="s">
        <v>76</v>
      </c>
      <c r="F403" s="4" t="s">
        <v>23</v>
      </c>
      <c r="G403" s="4" t="s">
        <v>24</v>
      </c>
      <c r="H403" s="4" t="s">
        <v>25</v>
      </c>
      <c r="I403" s="4" t="s">
        <v>1240</v>
      </c>
      <c r="J403" s="4" t="s">
        <v>749</v>
      </c>
      <c r="K403" s="5">
        <v>44620</v>
      </c>
      <c r="L403" s="5">
        <v>44654</v>
      </c>
      <c r="M403" s="5">
        <v>44661</v>
      </c>
      <c r="N403" s="6">
        <f t="shared" si="26"/>
        <v>7</v>
      </c>
      <c r="O403" s="4" t="s">
        <v>334</v>
      </c>
      <c r="P403" s="4">
        <v>3192.42</v>
      </c>
      <c r="Q403" s="4"/>
      <c r="R403" s="4" t="str">
        <f t="shared" si="27"/>
        <v>2022</v>
      </c>
      <c r="S403" s="4" t="str">
        <f t="shared" si="28"/>
        <v>April</v>
      </c>
      <c r="T403" s="4">
        <f t="shared" si="29"/>
        <v>3192.42</v>
      </c>
      <c r="U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row>
    <row r="404" spans="1:53" ht="19.95" customHeight="1">
      <c r="A404" s="4">
        <v>403</v>
      </c>
      <c r="B404" s="4" t="s">
        <v>1241</v>
      </c>
      <c r="C404" s="4" t="s">
        <v>20</v>
      </c>
      <c r="D404" s="4" t="s">
        <v>21</v>
      </c>
      <c r="E404" s="4" t="s">
        <v>39</v>
      </c>
      <c r="F404" s="4" t="s">
        <v>23</v>
      </c>
      <c r="G404" s="4" t="s">
        <v>24</v>
      </c>
      <c r="H404" s="4" t="s">
        <v>25</v>
      </c>
      <c r="I404" s="4" t="s">
        <v>1242</v>
      </c>
      <c r="J404" s="4" t="s">
        <v>1243</v>
      </c>
      <c r="K404" s="5">
        <v>44616</v>
      </c>
      <c r="L404" s="5">
        <v>44664</v>
      </c>
      <c r="M404" s="5">
        <v>44669</v>
      </c>
      <c r="N404" s="6">
        <f t="shared" si="26"/>
        <v>5</v>
      </c>
      <c r="O404" s="4" t="s">
        <v>28</v>
      </c>
      <c r="P404" s="4">
        <v>3041.77</v>
      </c>
      <c r="Q404" s="4"/>
      <c r="R404" s="4" t="str">
        <f t="shared" si="27"/>
        <v>2022</v>
      </c>
      <c r="S404" s="4" t="str">
        <f t="shared" si="28"/>
        <v>April</v>
      </c>
      <c r="T404" s="4">
        <f t="shared" si="29"/>
        <v>3041.77</v>
      </c>
      <c r="U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row>
    <row r="405" spans="1:53" ht="19.95" customHeight="1">
      <c r="A405" s="4">
        <v>404</v>
      </c>
      <c r="B405" s="4" t="s">
        <v>1244</v>
      </c>
      <c r="C405" s="4" t="s">
        <v>20</v>
      </c>
      <c r="D405" s="4" t="s">
        <v>21</v>
      </c>
      <c r="E405" s="4" t="s">
        <v>1137</v>
      </c>
      <c r="F405" s="4" t="s">
        <v>1245</v>
      </c>
      <c r="G405" s="4" t="s">
        <v>24</v>
      </c>
      <c r="H405" s="4" t="s">
        <v>25</v>
      </c>
      <c r="I405" s="4" t="s">
        <v>1246</v>
      </c>
      <c r="J405" s="4" t="s">
        <v>1247</v>
      </c>
      <c r="K405" s="5">
        <v>44614</v>
      </c>
      <c r="L405" s="5">
        <v>44634</v>
      </c>
      <c r="M405" s="5">
        <v>44648</v>
      </c>
      <c r="N405" s="6">
        <f t="shared" si="26"/>
        <v>14</v>
      </c>
      <c r="O405" s="4" t="s">
        <v>28</v>
      </c>
      <c r="P405" s="4">
        <v>2993.62</v>
      </c>
      <c r="Q405" s="4"/>
      <c r="R405" s="4" t="str">
        <f t="shared" si="27"/>
        <v>2022</v>
      </c>
      <c r="S405" s="4" t="str">
        <f t="shared" si="28"/>
        <v>March</v>
      </c>
      <c r="T405" s="4">
        <f t="shared" si="29"/>
        <v>2993.62</v>
      </c>
      <c r="U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row>
    <row r="406" spans="1:53" ht="19.95" customHeight="1">
      <c r="A406" s="4">
        <v>405</v>
      </c>
      <c r="B406" s="4" t="s">
        <v>1248</v>
      </c>
      <c r="C406" s="4" t="s">
        <v>65</v>
      </c>
      <c r="D406" s="4" t="s">
        <v>21</v>
      </c>
      <c r="E406" s="4" t="s">
        <v>345</v>
      </c>
      <c r="F406" s="4" t="s">
        <v>589</v>
      </c>
      <c r="G406" s="4" t="s">
        <v>24</v>
      </c>
      <c r="H406" s="4" t="s">
        <v>346</v>
      </c>
      <c r="I406" s="4" t="s">
        <v>1249</v>
      </c>
      <c r="J406" s="4" t="s">
        <v>1250</v>
      </c>
      <c r="K406" s="5">
        <v>44613</v>
      </c>
      <c r="L406" s="5">
        <v>44628</v>
      </c>
      <c r="M406" s="5">
        <v>44639</v>
      </c>
      <c r="N406" s="6">
        <f t="shared" si="26"/>
        <v>11</v>
      </c>
      <c r="O406" s="4" t="s">
        <v>28</v>
      </c>
      <c r="P406" s="4">
        <v>6217.09</v>
      </c>
      <c r="Q406" s="4"/>
      <c r="R406" s="4" t="str">
        <f t="shared" si="27"/>
        <v>2022</v>
      </c>
      <c r="S406" s="4" t="str">
        <f t="shared" si="28"/>
        <v>March</v>
      </c>
      <c r="T406" s="4">
        <f t="shared" si="29"/>
        <v>6217.09</v>
      </c>
      <c r="U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row>
    <row r="407" spans="1:53" ht="19.95" customHeight="1">
      <c r="A407" s="4">
        <v>406</v>
      </c>
      <c r="B407" s="4" t="s">
        <v>1251</v>
      </c>
      <c r="C407" s="4" t="s">
        <v>65</v>
      </c>
      <c r="D407" s="4" t="s">
        <v>56</v>
      </c>
      <c r="E407" s="4" t="s">
        <v>455</v>
      </c>
      <c r="F407" s="4" t="s">
        <v>589</v>
      </c>
      <c r="G407" s="4" t="s">
        <v>24</v>
      </c>
      <c r="H407" s="4" t="s">
        <v>346</v>
      </c>
      <c r="I407" s="4" t="s">
        <v>1252</v>
      </c>
      <c r="J407" s="4" t="s">
        <v>1253</v>
      </c>
      <c r="K407" s="5">
        <v>44611</v>
      </c>
      <c r="L407" s="5">
        <v>44659</v>
      </c>
      <c r="M407" s="5">
        <v>44670</v>
      </c>
      <c r="N407" s="6">
        <f t="shared" si="26"/>
        <v>11</v>
      </c>
      <c r="O407" s="4" t="s">
        <v>28</v>
      </c>
      <c r="P407" s="4">
        <v>7291.81</v>
      </c>
      <c r="Q407" s="4"/>
      <c r="R407" s="4" t="str">
        <f t="shared" si="27"/>
        <v>2022</v>
      </c>
      <c r="S407" s="4" t="str">
        <f t="shared" si="28"/>
        <v>April</v>
      </c>
      <c r="T407" s="4">
        <f t="shared" si="29"/>
        <v>7291.81</v>
      </c>
      <c r="U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row>
    <row r="408" spans="1:53" ht="19.95" customHeight="1">
      <c r="A408" s="4">
        <v>407</v>
      </c>
      <c r="B408" s="4" t="s">
        <v>1254</v>
      </c>
      <c r="C408" s="4" t="s">
        <v>20</v>
      </c>
      <c r="D408" s="4" t="s">
        <v>21</v>
      </c>
      <c r="E408" s="4" t="s">
        <v>455</v>
      </c>
      <c r="F408" s="4" t="s">
        <v>23</v>
      </c>
      <c r="G408" s="4" t="s">
        <v>24</v>
      </c>
      <c r="H408" s="4" t="s">
        <v>25</v>
      </c>
      <c r="I408" s="4" t="s">
        <v>1255</v>
      </c>
      <c r="J408" s="4" t="s">
        <v>1256</v>
      </c>
      <c r="K408" s="5">
        <v>44611</v>
      </c>
      <c r="L408" s="5">
        <v>44623</v>
      </c>
      <c r="M408" s="5">
        <v>44635</v>
      </c>
      <c r="N408" s="6">
        <f t="shared" si="26"/>
        <v>12</v>
      </c>
      <c r="O408" s="4" t="s">
        <v>28</v>
      </c>
      <c r="P408" s="4">
        <v>4294.0600000000004</v>
      </c>
      <c r="Q408" s="4"/>
      <c r="R408" s="4" t="str">
        <f t="shared" si="27"/>
        <v>2022</v>
      </c>
      <c r="S408" s="4" t="str">
        <f t="shared" si="28"/>
        <v>March</v>
      </c>
      <c r="T408" s="4">
        <f t="shared" si="29"/>
        <v>4294.0600000000004</v>
      </c>
      <c r="U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row>
    <row r="409" spans="1:53" ht="19.95" customHeight="1">
      <c r="A409" s="4">
        <v>408</v>
      </c>
      <c r="B409" s="4" t="s">
        <v>1257</v>
      </c>
      <c r="C409" s="4" t="s">
        <v>20</v>
      </c>
      <c r="D409" s="4" t="s">
        <v>21</v>
      </c>
      <c r="E409" s="4" t="s">
        <v>455</v>
      </c>
      <c r="F409" s="4" t="s">
        <v>23</v>
      </c>
      <c r="G409" s="4" t="s">
        <v>24</v>
      </c>
      <c r="H409" s="4" t="s">
        <v>25</v>
      </c>
      <c r="I409" s="4" t="s">
        <v>1258</v>
      </c>
      <c r="J409" s="4" t="s">
        <v>1256</v>
      </c>
      <c r="K409" s="5">
        <v>44610</v>
      </c>
      <c r="L409" s="5">
        <v>44622</v>
      </c>
      <c r="M409" s="5">
        <v>44622</v>
      </c>
      <c r="N409" s="6">
        <f t="shared" si="26"/>
        <v>0</v>
      </c>
      <c r="O409" s="4" t="s">
        <v>28</v>
      </c>
      <c r="P409" s="4">
        <v>3206.91</v>
      </c>
      <c r="Q409" s="4"/>
      <c r="R409" s="4" t="str">
        <f t="shared" si="27"/>
        <v>2022</v>
      </c>
      <c r="S409" s="4" t="str">
        <f t="shared" si="28"/>
        <v>March</v>
      </c>
      <c r="T409" s="4">
        <f t="shared" si="29"/>
        <v>3206.91</v>
      </c>
      <c r="U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row>
    <row r="410" spans="1:53" ht="19.95" customHeight="1">
      <c r="A410" s="4">
        <v>409</v>
      </c>
      <c r="B410" s="4" t="s">
        <v>1259</v>
      </c>
      <c r="C410" s="4" t="s">
        <v>20</v>
      </c>
      <c r="D410" s="4" t="s">
        <v>21</v>
      </c>
      <c r="E410" s="4" t="s">
        <v>76</v>
      </c>
      <c r="F410" s="4" t="s">
        <v>23</v>
      </c>
      <c r="G410" s="4" t="s">
        <v>24</v>
      </c>
      <c r="H410" s="4" t="s">
        <v>25</v>
      </c>
      <c r="I410" s="4" t="s">
        <v>1260</v>
      </c>
      <c r="J410" s="4" t="s">
        <v>1261</v>
      </c>
      <c r="K410" s="5">
        <v>44610</v>
      </c>
      <c r="L410" s="5">
        <v>44636</v>
      </c>
      <c r="M410" s="5">
        <v>44650</v>
      </c>
      <c r="N410" s="6">
        <f t="shared" si="26"/>
        <v>14</v>
      </c>
      <c r="O410" s="4" t="s">
        <v>334</v>
      </c>
      <c r="P410" s="4">
        <v>6874.1</v>
      </c>
      <c r="Q410" s="4"/>
      <c r="R410" s="4" t="str">
        <f t="shared" si="27"/>
        <v>2022</v>
      </c>
      <c r="S410" s="4" t="str">
        <f t="shared" si="28"/>
        <v>March</v>
      </c>
      <c r="T410" s="4">
        <f t="shared" si="29"/>
        <v>6874.1</v>
      </c>
      <c r="U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row>
    <row r="411" spans="1:53" ht="19.95" customHeight="1">
      <c r="A411" s="4">
        <v>410</v>
      </c>
      <c r="B411" s="4" t="s">
        <v>1262</v>
      </c>
      <c r="C411" s="4" t="s">
        <v>20</v>
      </c>
      <c r="D411" s="4" t="s">
        <v>21</v>
      </c>
      <c r="E411" s="4" t="s">
        <v>39</v>
      </c>
      <c r="F411" s="4" t="s">
        <v>23</v>
      </c>
      <c r="G411" s="4" t="s">
        <v>24</v>
      </c>
      <c r="H411" s="4" t="s">
        <v>25</v>
      </c>
      <c r="I411" s="4" t="s">
        <v>1263</v>
      </c>
      <c r="J411" s="4" t="s">
        <v>1264</v>
      </c>
      <c r="K411" s="5">
        <v>44610</v>
      </c>
      <c r="L411" s="5">
        <v>44787</v>
      </c>
      <c r="M411" s="5">
        <v>44801</v>
      </c>
      <c r="N411" s="6">
        <f t="shared" si="26"/>
        <v>14</v>
      </c>
      <c r="O411" s="4" t="s">
        <v>28</v>
      </c>
      <c r="P411" s="4">
        <v>4407.29</v>
      </c>
      <c r="Q411" s="4"/>
      <c r="R411" s="4" t="str">
        <f t="shared" si="27"/>
        <v>2022</v>
      </c>
      <c r="S411" s="4" t="str">
        <f t="shared" si="28"/>
        <v>August</v>
      </c>
      <c r="T411" s="4">
        <f t="shared" si="29"/>
        <v>4407.29</v>
      </c>
      <c r="U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row>
    <row r="412" spans="1:53" ht="19.95" customHeight="1">
      <c r="A412" s="4">
        <v>411</v>
      </c>
      <c r="B412" s="4" t="s">
        <v>1265</v>
      </c>
      <c r="C412" s="4" t="s">
        <v>20</v>
      </c>
      <c r="D412" s="4" t="s">
        <v>21</v>
      </c>
      <c r="E412" s="4" t="s">
        <v>455</v>
      </c>
      <c r="F412" s="4" t="s">
        <v>23</v>
      </c>
      <c r="G412" s="4" t="s">
        <v>24</v>
      </c>
      <c r="H412" s="4" t="s">
        <v>25</v>
      </c>
      <c r="I412" s="4" t="s">
        <v>1266</v>
      </c>
      <c r="J412" s="4" t="s">
        <v>1267</v>
      </c>
      <c r="K412" s="5">
        <v>44609</v>
      </c>
      <c r="L412" s="5">
        <v>44645</v>
      </c>
      <c r="M412" s="5">
        <v>44660</v>
      </c>
      <c r="N412" s="6">
        <f t="shared" si="26"/>
        <v>15</v>
      </c>
      <c r="O412" s="4" t="s">
        <v>28</v>
      </c>
      <c r="P412" s="4">
        <v>5134.3599999999997</v>
      </c>
      <c r="Q412" s="4"/>
      <c r="R412" s="4" t="str">
        <f t="shared" si="27"/>
        <v>2022</v>
      </c>
      <c r="S412" s="4" t="str">
        <f t="shared" si="28"/>
        <v>March</v>
      </c>
      <c r="T412" s="4">
        <f t="shared" si="29"/>
        <v>5134.3599999999997</v>
      </c>
      <c r="U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row>
    <row r="413" spans="1:53" ht="19.95" customHeight="1">
      <c r="A413" s="4">
        <v>412</v>
      </c>
      <c r="B413" s="4" t="s">
        <v>1268</v>
      </c>
      <c r="C413" s="4" t="s">
        <v>20</v>
      </c>
      <c r="D413" s="4" t="s">
        <v>21</v>
      </c>
      <c r="E413" s="4" t="s">
        <v>455</v>
      </c>
      <c r="F413" s="4" t="s">
        <v>23</v>
      </c>
      <c r="G413" s="4" t="s">
        <v>24</v>
      </c>
      <c r="H413" s="4" t="s">
        <v>25</v>
      </c>
      <c r="I413" s="4" t="s">
        <v>1266</v>
      </c>
      <c r="J413" s="4" t="s">
        <v>1267</v>
      </c>
      <c r="K413" s="5">
        <v>44610</v>
      </c>
      <c r="L413" s="5">
        <v>44645</v>
      </c>
      <c r="M413" s="5">
        <v>44645</v>
      </c>
      <c r="N413" s="6">
        <f t="shared" si="26"/>
        <v>0</v>
      </c>
      <c r="O413" s="4" t="s">
        <v>28</v>
      </c>
      <c r="P413" s="4">
        <v>1641.89</v>
      </c>
      <c r="Q413" s="4"/>
      <c r="R413" s="4" t="str">
        <f t="shared" si="27"/>
        <v>2022</v>
      </c>
      <c r="S413" s="4" t="str">
        <f t="shared" si="28"/>
        <v>March</v>
      </c>
      <c r="T413" s="4">
        <f t="shared" si="29"/>
        <v>1641.89</v>
      </c>
      <c r="U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row>
    <row r="414" spans="1:53" ht="19.95" customHeight="1">
      <c r="A414" s="4">
        <v>413</v>
      </c>
      <c r="B414" s="4" t="s">
        <v>1269</v>
      </c>
      <c r="C414" s="4" t="s">
        <v>20</v>
      </c>
      <c r="D414" s="4" t="s">
        <v>21</v>
      </c>
      <c r="E414" s="4" t="s">
        <v>39</v>
      </c>
      <c r="F414" s="4" t="s">
        <v>23</v>
      </c>
      <c r="G414" s="4" t="s">
        <v>24</v>
      </c>
      <c r="H414" s="4" t="s">
        <v>25</v>
      </c>
      <c r="I414" s="4" t="s">
        <v>1270</v>
      </c>
      <c r="J414" s="4" t="s">
        <v>1271</v>
      </c>
      <c r="K414" s="5">
        <v>44607</v>
      </c>
      <c r="L414" s="5">
        <v>44621</v>
      </c>
      <c r="M414" s="5">
        <v>44633</v>
      </c>
      <c r="N414" s="6">
        <f t="shared" si="26"/>
        <v>12</v>
      </c>
      <c r="O414" s="4" t="s">
        <v>28</v>
      </c>
      <c r="P414" s="4">
        <v>4033.86</v>
      </c>
      <c r="Q414" s="4"/>
      <c r="R414" s="4" t="str">
        <f t="shared" si="27"/>
        <v>2022</v>
      </c>
      <c r="S414" s="4" t="str">
        <f t="shared" si="28"/>
        <v>March</v>
      </c>
      <c r="T414" s="4">
        <f t="shared" si="29"/>
        <v>4033.86</v>
      </c>
      <c r="U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row>
    <row r="415" spans="1:53" ht="19.95" customHeight="1">
      <c r="A415" s="4">
        <v>414</v>
      </c>
      <c r="B415" s="4" t="s">
        <v>1272</v>
      </c>
      <c r="C415" s="4" t="s">
        <v>20</v>
      </c>
      <c r="D415" s="4" t="s">
        <v>38</v>
      </c>
      <c r="E415" s="4" t="s">
        <v>39</v>
      </c>
      <c r="F415" s="4" t="s">
        <v>43</v>
      </c>
      <c r="G415" s="4" t="s">
        <v>24</v>
      </c>
      <c r="H415" s="4" t="s">
        <v>44</v>
      </c>
      <c r="I415" s="4" t="s">
        <v>704</v>
      </c>
      <c r="J415" s="4" t="s">
        <v>705</v>
      </c>
      <c r="K415" s="5">
        <v>44606</v>
      </c>
      <c r="L415" s="5">
        <v>44610</v>
      </c>
      <c r="M415" s="5">
        <v>44619</v>
      </c>
      <c r="N415" s="6">
        <f t="shared" si="26"/>
        <v>9</v>
      </c>
      <c r="O415" s="4" t="s">
        <v>28</v>
      </c>
      <c r="P415" s="4">
        <v>630</v>
      </c>
      <c r="Q415" s="4"/>
      <c r="R415" s="4" t="str">
        <f t="shared" si="27"/>
        <v>2022</v>
      </c>
      <c r="S415" s="4" t="str">
        <f t="shared" si="28"/>
        <v>February</v>
      </c>
      <c r="T415" s="4">
        <f t="shared" si="29"/>
        <v>630</v>
      </c>
      <c r="U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row>
    <row r="416" spans="1:53" ht="19.95" customHeight="1">
      <c r="A416" s="4">
        <v>415</v>
      </c>
      <c r="B416" s="4" t="s">
        <v>1273</v>
      </c>
      <c r="C416" s="4" t="s">
        <v>20</v>
      </c>
      <c r="D416" s="4" t="s">
        <v>56</v>
      </c>
      <c r="E416" s="4" t="s">
        <v>1137</v>
      </c>
      <c r="F416" s="4" t="s">
        <v>223</v>
      </c>
      <c r="G416" s="4" t="s">
        <v>24</v>
      </c>
      <c r="H416" s="4" t="s">
        <v>224</v>
      </c>
      <c r="I416" s="4" t="s">
        <v>1274</v>
      </c>
      <c r="J416" s="4" t="s">
        <v>1275</v>
      </c>
      <c r="K416" s="5">
        <v>44602</v>
      </c>
      <c r="L416" s="5">
        <v>44607</v>
      </c>
      <c r="M416" s="5">
        <v>44612</v>
      </c>
      <c r="N416" s="6">
        <f t="shared" si="26"/>
        <v>5</v>
      </c>
      <c r="O416" s="4" t="s">
        <v>28</v>
      </c>
      <c r="P416" s="4">
        <v>319</v>
      </c>
      <c r="Q416" s="4"/>
      <c r="R416" s="4" t="str">
        <f t="shared" si="27"/>
        <v>2022</v>
      </c>
      <c r="S416" s="4" t="str">
        <f t="shared" si="28"/>
        <v>February</v>
      </c>
      <c r="T416" s="4">
        <f t="shared" si="29"/>
        <v>319</v>
      </c>
      <c r="U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row>
    <row r="417" spans="1:53" ht="19.95" customHeight="1">
      <c r="A417" s="4">
        <v>416</v>
      </c>
      <c r="B417" s="4" t="s">
        <v>1276</v>
      </c>
      <c r="C417" s="4" t="s">
        <v>65</v>
      </c>
      <c r="D417" s="4" t="s">
        <v>56</v>
      </c>
      <c r="E417" s="4" t="s">
        <v>345</v>
      </c>
      <c r="F417" s="4" t="s">
        <v>589</v>
      </c>
      <c r="G417" s="4" t="s">
        <v>24</v>
      </c>
      <c r="H417" s="4" t="s">
        <v>294</v>
      </c>
      <c r="I417" s="4" t="s">
        <v>1277</v>
      </c>
      <c r="J417" s="4" t="s">
        <v>1278</v>
      </c>
      <c r="K417" s="5">
        <v>44602</v>
      </c>
      <c r="L417" s="5">
        <v>44607</v>
      </c>
      <c r="M417" s="5">
        <v>44616</v>
      </c>
      <c r="N417" s="6">
        <f t="shared" ref="N417:N448" si="30">M417-L417</f>
        <v>9</v>
      </c>
      <c r="O417" s="4" t="s">
        <v>28</v>
      </c>
      <c r="P417" s="4">
        <v>8819</v>
      </c>
      <c r="Q417" s="4"/>
      <c r="R417" s="4" t="str">
        <f t="shared" si="27"/>
        <v>2022</v>
      </c>
      <c r="S417" s="4" t="str">
        <f t="shared" si="28"/>
        <v>February</v>
      </c>
      <c r="T417" s="4">
        <f t="shared" si="29"/>
        <v>8819</v>
      </c>
      <c r="U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row>
    <row r="418" spans="1:53" ht="19.95" customHeight="1">
      <c r="A418" s="4">
        <v>417</v>
      </c>
      <c r="B418" s="4" t="s">
        <v>1279</v>
      </c>
      <c r="C418" s="4" t="s">
        <v>65</v>
      </c>
      <c r="D418" s="4" t="s">
        <v>21</v>
      </c>
      <c r="E418" s="4" t="s">
        <v>76</v>
      </c>
      <c r="F418" s="4" t="s">
        <v>23</v>
      </c>
      <c r="G418" s="4" t="s">
        <v>24</v>
      </c>
      <c r="H418" s="4" t="s">
        <v>25</v>
      </c>
      <c r="I418" s="4" t="s">
        <v>1280</v>
      </c>
      <c r="J418" s="4" t="s">
        <v>1281</v>
      </c>
      <c r="K418" s="5">
        <v>44601</v>
      </c>
      <c r="L418" s="5">
        <v>44652</v>
      </c>
      <c r="M418" s="5">
        <v>44663</v>
      </c>
      <c r="N418" s="6">
        <f t="shared" si="30"/>
        <v>11</v>
      </c>
      <c r="O418" s="4" t="s">
        <v>334</v>
      </c>
      <c r="P418" s="4">
        <v>8840.5</v>
      </c>
      <c r="Q418" s="4"/>
      <c r="R418" s="4" t="str">
        <f t="shared" si="27"/>
        <v>2022</v>
      </c>
      <c r="S418" s="4" t="str">
        <f t="shared" si="28"/>
        <v>April</v>
      </c>
      <c r="T418" s="4">
        <f t="shared" si="29"/>
        <v>8840.5</v>
      </c>
      <c r="U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row>
    <row r="419" spans="1:53" ht="19.95" customHeight="1">
      <c r="A419" s="4">
        <v>418</v>
      </c>
      <c r="B419" s="4" t="s">
        <v>1282</v>
      </c>
      <c r="C419" s="4" t="s">
        <v>20</v>
      </c>
      <c r="D419" s="4" t="s">
        <v>38</v>
      </c>
      <c r="E419" s="4" t="s">
        <v>39</v>
      </c>
      <c r="F419" s="4" t="s">
        <v>1283</v>
      </c>
      <c r="G419" s="4" t="s">
        <v>24</v>
      </c>
      <c r="H419" s="4" t="s">
        <v>1284</v>
      </c>
      <c r="I419" s="4" t="s">
        <v>1285</v>
      </c>
      <c r="J419" s="4" t="s">
        <v>1286</v>
      </c>
      <c r="K419" s="5">
        <v>44601</v>
      </c>
      <c r="L419" s="5">
        <v>44651</v>
      </c>
      <c r="M419" s="5">
        <v>44659</v>
      </c>
      <c r="N419" s="6">
        <f t="shared" si="30"/>
        <v>8</v>
      </c>
      <c r="O419" s="4" t="s">
        <v>28</v>
      </c>
      <c r="P419" s="4">
        <v>6884.06</v>
      </c>
      <c r="Q419" s="4"/>
      <c r="R419" s="4" t="str">
        <f t="shared" si="27"/>
        <v>2022</v>
      </c>
      <c r="S419" s="4" t="str">
        <f t="shared" si="28"/>
        <v>March</v>
      </c>
      <c r="T419" s="4">
        <f t="shared" si="29"/>
        <v>6884.06</v>
      </c>
      <c r="U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row>
    <row r="420" spans="1:53" ht="19.95" customHeight="1">
      <c r="A420" s="4">
        <v>419</v>
      </c>
      <c r="B420" s="4" t="s">
        <v>1287</v>
      </c>
      <c r="C420" s="4" t="s">
        <v>20</v>
      </c>
      <c r="D420" s="4" t="s">
        <v>21</v>
      </c>
      <c r="E420" s="4" t="s">
        <v>455</v>
      </c>
      <c r="F420" s="4" t="s">
        <v>23</v>
      </c>
      <c r="G420" s="4" t="s">
        <v>24</v>
      </c>
      <c r="H420" s="4" t="s">
        <v>25</v>
      </c>
      <c r="I420" s="4" t="s">
        <v>1288</v>
      </c>
      <c r="J420" s="4" t="s">
        <v>1289</v>
      </c>
      <c r="K420" s="5">
        <v>44595</v>
      </c>
      <c r="L420" s="5">
        <v>44612</v>
      </c>
      <c r="M420" s="5">
        <v>44623</v>
      </c>
      <c r="N420" s="6">
        <f t="shared" si="30"/>
        <v>11</v>
      </c>
      <c r="O420" s="4" t="s">
        <v>28</v>
      </c>
      <c r="P420" s="4">
        <v>5925.06</v>
      </c>
      <c r="Q420" s="4"/>
      <c r="R420" s="4" t="str">
        <f t="shared" si="27"/>
        <v>2022</v>
      </c>
      <c r="S420" s="4" t="str">
        <f t="shared" si="28"/>
        <v>February</v>
      </c>
      <c r="T420" s="4">
        <f t="shared" si="29"/>
        <v>5925.06</v>
      </c>
      <c r="U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row>
    <row r="421" spans="1:53" ht="19.95" customHeight="1">
      <c r="A421" s="4">
        <v>420</v>
      </c>
      <c r="B421" s="4" t="s">
        <v>1290</v>
      </c>
      <c r="C421" s="4" t="s">
        <v>20</v>
      </c>
      <c r="D421" s="4" t="s">
        <v>21</v>
      </c>
      <c r="E421" s="4" t="s">
        <v>455</v>
      </c>
      <c r="F421" s="4" t="s">
        <v>23</v>
      </c>
      <c r="G421" s="4" t="s">
        <v>24</v>
      </c>
      <c r="H421" s="4" t="s">
        <v>25</v>
      </c>
      <c r="I421" s="4" t="s">
        <v>1288</v>
      </c>
      <c r="J421" s="4" t="s">
        <v>1289</v>
      </c>
      <c r="K421" s="5">
        <v>44594</v>
      </c>
      <c r="L421" s="5">
        <v>44611</v>
      </c>
      <c r="M421" s="5">
        <v>44611</v>
      </c>
      <c r="N421" s="6">
        <f t="shared" si="30"/>
        <v>0</v>
      </c>
      <c r="O421" s="4" t="s">
        <v>28</v>
      </c>
      <c r="P421" s="4">
        <v>7115.85</v>
      </c>
      <c r="Q421" s="4"/>
      <c r="R421" s="4" t="str">
        <f t="shared" si="27"/>
        <v>2022</v>
      </c>
      <c r="S421" s="4" t="str">
        <f t="shared" si="28"/>
        <v>February</v>
      </c>
      <c r="T421" s="4">
        <f t="shared" si="29"/>
        <v>7115.85</v>
      </c>
      <c r="U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row>
    <row r="422" spans="1:53" ht="19.95" customHeight="1">
      <c r="A422" s="4">
        <v>421</v>
      </c>
      <c r="B422" s="4" t="s">
        <v>1291</v>
      </c>
      <c r="C422" s="4" t="s">
        <v>65</v>
      </c>
      <c r="D422" s="4" t="s">
        <v>56</v>
      </c>
      <c r="E422" s="4" t="s">
        <v>345</v>
      </c>
      <c r="F422" s="4" t="s">
        <v>589</v>
      </c>
      <c r="G422" s="4" t="s">
        <v>24</v>
      </c>
      <c r="H422" s="4" t="s">
        <v>346</v>
      </c>
      <c r="I422" s="4" t="s">
        <v>1292</v>
      </c>
      <c r="J422" s="4" t="s">
        <v>1293</v>
      </c>
      <c r="K422" s="5">
        <v>44593</v>
      </c>
      <c r="L422" s="5">
        <v>44620</v>
      </c>
      <c r="M422" s="5">
        <v>44633</v>
      </c>
      <c r="N422" s="6">
        <f t="shared" si="30"/>
        <v>13</v>
      </c>
      <c r="O422" s="4" t="s">
        <v>28</v>
      </c>
      <c r="P422" s="4">
        <v>8451</v>
      </c>
      <c r="Q422" s="4"/>
      <c r="R422" s="4" t="str">
        <f t="shared" si="27"/>
        <v>2022</v>
      </c>
      <c r="S422" s="4" t="str">
        <f t="shared" si="28"/>
        <v>February</v>
      </c>
      <c r="T422" s="4">
        <f t="shared" si="29"/>
        <v>8451</v>
      </c>
      <c r="U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row>
    <row r="423" spans="1:53" ht="19.95" customHeight="1">
      <c r="A423" s="4">
        <v>422</v>
      </c>
      <c r="B423" s="4" t="s">
        <v>1294</v>
      </c>
      <c r="C423" s="4" t="s">
        <v>65</v>
      </c>
      <c r="D423" s="4" t="s">
        <v>21</v>
      </c>
      <c r="E423" s="4" t="s">
        <v>39</v>
      </c>
      <c r="F423" s="4" t="s">
        <v>23</v>
      </c>
      <c r="G423" s="4" t="s">
        <v>24</v>
      </c>
      <c r="H423" s="4" t="s">
        <v>25</v>
      </c>
      <c r="I423" s="4" t="s">
        <v>1295</v>
      </c>
      <c r="J423" s="4" t="s">
        <v>1296</v>
      </c>
      <c r="K423" s="5">
        <v>44593</v>
      </c>
      <c r="L423" s="5">
        <v>44638</v>
      </c>
      <c r="M423" s="5">
        <v>44649</v>
      </c>
      <c r="N423" s="6">
        <f t="shared" si="30"/>
        <v>11</v>
      </c>
      <c r="O423" s="4" t="s">
        <v>28</v>
      </c>
      <c r="P423" s="4">
        <v>7059.91</v>
      </c>
      <c r="Q423" s="4"/>
      <c r="R423" s="4" t="str">
        <f t="shared" si="27"/>
        <v>2022</v>
      </c>
      <c r="S423" s="4" t="str">
        <f t="shared" si="28"/>
        <v>March</v>
      </c>
      <c r="T423" s="4">
        <f t="shared" si="29"/>
        <v>7059.91</v>
      </c>
      <c r="U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row>
    <row r="424" spans="1:53" ht="19.95" customHeight="1">
      <c r="A424" s="4">
        <v>423</v>
      </c>
      <c r="B424" s="4" t="s">
        <v>1297</v>
      </c>
      <c r="C424" s="4" t="s">
        <v>20</v>
      </c>
      <c r="D424" s="4" t="s">
        <v>21</v>
      </c>
      <c r="E424" s="4" t="s">
        <v>39</v>
      </c>
      <c r="F424" s="4" t="s">
        <v>23</v>
      </c>
      <c r="G424" s="4" t="s">
        <v>24</v>
      </c>
      <c r="H424" s="4" t="s">
        <v>25</v>
      </c>
      <c r="I424" s="4" t="s">
        <v>1298</v>
      </c>
      <c r="J424" s="4" t="s">
        <v>1299</v>
      </c>
      <c r="K424" s="5">
        <v>44592</v>
      </c>
      <c r="L424" s="5">
        <v>44610</v>
      </c>
      <c r="M424" s="5">
        <v>44631</v>
      </c>
      <c r="N424" s="6">
        <f t="shared" si="30"/>
        <v>21</v>
      </c>
      <c r="O424" s="4" t="s">
        <v>28</v>
      </c>
      <c r="P424" s="4">
        <v>17836.189999999999</v>
      </c>
      <c r="Q424" s="4"/>
      <c r="R424" s="4" t="str">
        <f t="shared" si="27"/>
        <v>2022</v>
      </c>
      <c r="S424" s="4" t="str">
        <f t="shared" si="28"/>
        <v>February</v>
      </c>
      <c r="T424" s="4">
        <f t="shared" si="29"/>
        <v>17836.189999999999</v>
      </c>
      <c r="U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row>
    <row r="425" spans="1:53" ht="19.95" customHeight="1">
      <c r="A425" s="4">
        <v>424</v>
      </c>
      <c r="B425" s="4" t="s">
        <v>1300</v>
      </c>
      <c r="C425" s="4" t="s">
        <v>65</v>
      </c>
      <c r="D425" s="4" t="s">
        <v>21</v>
      </c>
      <c r="E425" s="4" t="s">
        <v>455</v>
      </c>
      <c r="F425" s="4" t="s">
        <v>43</v>
      </c>
      <c r="G425" s="4" t="s">
        <v>24</v>
      </c>
      <c r="H425" s="4" t="s">
        <v>44</v>
      </c>
      <c r="I425" s="4" t="s">
        <v>1301</v>
      </c>
      <c r="J425" s="4" t="s">
        <v>1302</v>
      </c>
      <c r="K425" s="5">
        <v>44591</v>
      </c>
      <c r="L425" s="5">
        <v>44612</v>
      </c>
      <c r="M425" s="5">
        <v>44617</v>
      </c>
      <c r="N425" s="6">
        <f t="shared" si="30"/>
        <v>5</v>
      </c>
      <c r="O425" s="4" t="s">
        <v>28</v>
      </c>
      <c r="P425" s="4">
        <v>10439.89</v>
      </c>
      <c r="Q425" s="4"/>
      <c r="R425" s="4" t="str">
        <f t="shared" si="27"/>
        <v>2022</v>
      </c>
      <c r="S425" s="4" t="str">
        <f t="shared" si="28"/>
        <v>February</v>
      </c>
      <c r="T425" s="4">
        <f t="shared" si="29"/>
        <v>10439.89</v>
      </c>
      <c r="U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row>
    <row r="426" spans="1:53" ht="19.95" customHeight="1">
      <c r="A426" s="4">
        <v>425</v>
      </c>
      <c r="B426" s="4" t="s">
        <v>1303</v>
      </c>
      <c r="C426" s="4" t="s">
        <v>20</v>
      </c>
      <c r="D426" s="4" t="s">
        <v>21</v>
      </c>
      <c r="E426" s="4" t="s">
        <v>76</v>
      </c>
      <c r="F426" s="4" t="s">
        <v>23</v>
      </c>
      <c r="G426" s="4" t="s">
        <v>24</v>
      </c>
      <c r="H426" s="4" t="s">
        <v>25</v>
      </c>
      <c r="I426" s="4" t="s">
        <v>1304</v>
      </c>
      <c r="J426" s="4" t="s">
        <v>1305</v>
      </c>
      <c r="K426" s="5">
        <v>44591</v>
      </c>
      <c r="L426" s="5">
        <v>44654</v>
      </c>
      <c r="M426" s="5">
        <v>44668</v>
      </c>
      <c r="N426" s="6">
        <f t="shared" si="30"/>
        <v>14</v>
      </c>
      <c r="O426" s="4" t="s">
        <v>334</v>
      </c>
      <c r="P426" s="4">
        <v>4761.6400000000003</v>
      </c>
      <c r="Q426" s="4"/>
      <c r="R426" s="4" t="str">
        <f t="shared" si="27"/>
        <v>2022</v>
      </c>
      <c r="S426" s="4" t="str">
        <f t="shared" si="28"/>
        <v>April</v>
      </c>
      <c r="T426" s="4">
        <f t="shared" si="29"/>
        <v>4761.6400000000003</v>
      </c>
      <c r="U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row>
    <row r="427" spans="1:53" ht="19.95" customHeight="1">
      <c r="A427" s="4">
        <v>426</v>
      </c>
      <c r="B427" s="4" t="s">
        <v>1306</v>
      </c>
      <c r="C427" s="4" t="s">
        <v>65</v>
      </c>
      <c r="D427" s="4" t="s">
        <v>21</v>
      </c>
      <c r="E427" s="4" t="s">
        <v>76</v>
      </c>
      <c r="F427" s="4" t="s">
        <v>23</v>
      </c>
      <c r="G427" s="4" t="s">
        <v>24</v>
      </c>
      <c r="H427" s="4" t="s">
        <v>25</v>
      </c>
      <c r="I427" s="4" t="s">
        <v>1307</v>
      </c>
      <c r="J427" s="4" t="s">
        <v>1308</v>
      </c>
      <c r="K427" s="5">
        <v>44588</v>
      </c>
      <c r="L427" s="5">
        <v>44654</v>
      </c>
      <c r="M427" s="5">
        <v>44667</v>
      </c>
      <c r="N427" s="6">
        <f t="shared" si="30"/>
        <v>13</v>
      </c>
      <c r="O427" s="4" t="s">
        <v>334</v>
      </c>
      <c r="P427" s="4">
        <v>6585.26</v>
      </c>
      <c r="Q427" s="4"/>
      <c r="R427" s="4" t="str">
        <f t="shared" si="27"/>
        <v>2022</v>
      </c>
      <c r="S427" s="4" t="str">
        <f t="shared" si="28"/>
        <v>April</v>
      </c>
      <c r="T427" s="4">
        <f t="shared" si="29"/>
        <v>6585.26</v>
      </c>
      <c r="U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row>
    <row r="428" spans="1:53" ht="19.95" customHeight="1">
      <c r="A428" s="4">
        <v>427</v>
      </c>
      <c r="B428" s="4" t="s">
        <v>1309</v>
      </c>
      <c r="C428" s="4" t="s">
        <v>20</v>
      </c>
      <c r="D428" s="4" t="s">
        <v>21</v>
      </c>
      <c r="E428" s="4" t="s">
        <v>455</v>
      </c>
      <c r="F428" s="4" t="s">
        <v>23</v>
      </c>
      <c r="G428" s="4" t="s">
        <v>24</v>
      </c>
      <c r="H428" s="4" t="s">
        <v>25</v>
      </c>
      <c r="I428" s="4" t="s">
        <v>1310</v>
      </c>
      <c r="J428" s="4" t="s">
        <v>1311</v>
      </c>
      <c r="K428" s="5">
        <v>44585</v>
      </c>
      <c r="L428" s="5">
        <v>44575</v>
      </c>
      <c r="M428" s="5">
        <v>44611</v>
      </c>
      <c r="N428" s="6">
        <f t="shared" si="30"/>
        <v>36</v>
      </c>
      <c r="O428" s="4" t="s">
        <v>28</v>
      </c>
      <c r="P428" s="4">
        <v>390</v>
      </c>
      <c r="Q428" s="4"/>
      <c r="R428" s="4" t="str">
        <f t="shared" si="27"/>
        <v>2022</v>
      </c>
      <c r="S428" s="4" t="str">
        <f t="shared" si="28"/>
        <v>January</v>
      </c>
      <c r="T428" s="4">
        <f t="shared" si="29"/>
        <v>390</v>
      </c>
      <c r="U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row>
    <row r="429" spans="1:53" ht="19.95" customHeight="1">
      <c r="A429" s="4">
        <v>428</v>
      </c>
      <c r="B429" s="4" t="s">
        <v>1312</v>
      </c>
      <c r="C429" s="4" t="s">
        <v>20</v>
      </c>
      <c r="D429" s="4" t="s">
        <v>56</v>
      </c>
      <c r="E429" s="4" t="s">
        <v>455</v>
      </c>
      <c r="F429" s="4" t="s">
        <v>23</v>
      </c>
      <c r="G429" s="4" t="s">
        <v>24</v>
      </c>
      <c r="H429" s="4" t="s">
        <v>25</v>
      </c>
      <c r="I429" s="4" t="s">
        <v>1313</v>
      </c>
      <c r="J429" s="4" t="s">
        <v>1314</v>
      </c>
      <c r="K429" s="5">
        <v>44585</v>
      </c>
      <c r="L429" s="5">
        <v>44615</v>
      </c>
      <c r="M429" s="5">
        <v>44626</v>
      </c>
      <c r="N429" s="6">
        <f t="shared" si="30"/>
        <v>11</v>
      </c>
      <c r="O429" s="4" t="s">
        <v>28</v>
      </c>
      <c r="P429" s="4">
        <v>3372.8</v>
      </c>
      <c r="Q429" s="4"/>
      <c r="R429" s="4" t="str">
        <f t="shared" si="27"/>
        <v>2022</v>
      </c>
      <c r="S429" s="4" t="str">
        <f t="shared" si="28"/>
        <v>February</v>
      </c>
      <c r="T429" s="4">
        <f t="shared" si="29"/>
        <v>3372.8</v>
      </c>
      <c r="U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row>
    <row r="430" spans="1:53" ht="19.95" customHeight="1">
      <c r="A430" s="4">
        <v>429</v>
      </c>
      <c r="B430" s="4" t="s">
        <v>1315</v>
      </c>
      <c r="C430" s="4" t="s">
        <v>20</v>
      </c>
      <c r="D430" s="4" t="s">
        <v>21</v>
      </c>
      <c r="E430" s="4" t="s">
        <v>39</v>
      </c>
      <c r="F430" s="4" t="s">
        <v>23</v>
      </c>
      <c r="G430" s="4" t="s">
        <v>24</v>
      </c>
      <c r="H430" s="4" t="s">
        <v>25</v>
      </c>
      <c r="I430" s="4" t="s">
        <v>1316</v>
      </c>
      <c r="J430" s="4" t="s">
        <v>1317</v>
      </c>
      <c r="K430" s="5">
        <v>44584</v>
      </c>
      <c r="L430" s="5">
        <v>44587</v>
      </c>
      <c r="M430" s="5">
        <v>44601</v>
      </c>
      <c r="N430" s="6">
        <f t="shared" si="30"/>
        <v>14</v>
      </c>
      <c r="O430" s="4" t="s">
        <v>28</v>
      </c>
      <c r="P430" s="4">
        <v>10596.45</v>
      </c>
      <c r="Q430" s="4"/>
      <c r="R430" s="4" t="str">
        <f t="shared" si="27"/>
        <v>2022</v>
      </c>
      <c r="S430" s="4" t="str">
        <f t="shared" si="28"/>
        <v>January</v>
      </c>
      <c r="T430" s="4">
        <f t="shared" si="29"/>
        <v>10596.45</v>
      </c>
      <c r="U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row>
    <row r="431" spans="1:53" ht="19.95" customHeight="1">
      <c r="A431" s="4">
        <v>430</v>
      </c>
      <c r="B431" s="4" t="s">
        <v>1318</v>
      </c>
      <c r="C431" s="4" t="s">
        <v>65</v>
      </c>
      <c r="D431" s="4" t="s">
        <v>21</v>
      </c>
      <c r="E431" s="4" t="s">
        <v>455</v>
      </c>
      <c r="F431" s="4" t="s">
        <v>96</v>
      </c>
      <c r="G431" s="4" t="s">
        <v>24</v>
      </c>
      <c r="H431" s="4" t="s">
        <v>286</v>
      </c>
      <c r="I431" s="4" t="s">
        <v>1319</v>
      </c>
      <c r="J431" s="4" t="s">
        <v>1320</v>
      </c>
      <c r="K431" s="5">
        <v>44584</v>
      </c>
      <c r="L431" s="5">
        <v>44617</v>
      </c>
      <c r="M431" s="5">
        <v>44626</v>
      </c>
      <c r="N431" s="6">
        <f t="shared" si="30"/>
        <v>9</v>
      </c>
      <c r="O431" s="4" t="s">
        <v>28</v>
      </c>
      <c r="P431" s="4">
        <v>12708.2</v>
      </c>
      <c r="Q431" s="4"/>
      <c r="R431" s="4" t="str">
        <f t="shared" si="27"/>
        <v>2022</v>
      </c>
      <c r="S431" s="4" t="str">
        <f t="shared" si="28"/>
        <v>February</v>
      </c>
      <c r="T431" s="4">
        <f t="shared" si="29"/>
        <v>12708.2</v>
      </c>
      <c r="U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row>
    <row r="432" spans="1:53" ht="19.95" customHeight="1">
      <c r="A432" s="4">
        <v>431</v>
      </c>
      <c r="B432" s="4" t="s">
        <v>1321</v>
      </c>
      <c r="C432" s="4" t="s">
        <v>20</v>
      </c>
      <c r="D432" s="4" t="s">
        <v>56</v>
      </c>
      <c r="E432" s="4" t="s">
        <v>455</v>
      </c>
      <c r="F432" s="4" t="s">
        <v>23</v>
      </c>
      <c r="G432" s="4" t="s">
        <v>24</v>
      </c>
      <c r="H432" s="4" t="s">
        <v>25</v>
      </c>
      <c r="I432" s="4" t="s">
        <v>1322</v>
      </c>
      <c r="J432" s="4" t="s">
        <v>1323</v>
      </c>
      <c r="K432" s="5">
        <v>44583</v>
      </c>
      <c r="L432" s="5">
        <v>44610</v>
      </c>
      <c r="M432" s="5">
        <v>44616</v>
      </c>
      <c r="N432" s="6">
        <f t="shared" si="30"/>
        <v>6</v>
      </c>
      <c r="O432" s="4" t="s">
        <v>28</v>
      </c>
      <c r="P432" s="4">
        <v>1915.15</v>
      </c>
      <c r="Q432" s="4"/>
      <c r="R432" s="4" t="str">
        <f t="shared" si="27"/>
        <v>2022</v>
      </c>
      <c r="S432" s="4" t="str">
        <f t="shared" si="28"/>
        <v>February</v>
      </c>
      <c r="T432" s="4">
        <f t="shared" si="29"/>
        <v>1915.15</v>
      </c>
      <c r="U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row>
    <row r="433" spans="1:53" ht="19.95" customHeight="1">
      <c r="A433" s="4">
        <v>432</v>
      </c>
      <c r="B433" s="4" t="s">
        <v>1324</v>
      </c>
      <c r="C433" s="4" t="s">
        <v>20</v>
      </c>
      <c r="D433" s="4" t="s">
        <v>56</v>
      </c>
      <c r="E433" s="4" t="s">
        <v>455</v>
      </c>
      <c r="F433" s="4" t="s">
        <v>23</v>
      </c>
      <c r="G433" s="4" t="s">
        <v>24</v>
      </c>
      <c r="H433" s="4" t="s">
        <v>25</v>
      </c>
      <c r="I433" s="4" t="s">
        <v>1322</v>
      </c>
      <c r="J433" s="4" t="s">
        <v>1323</v>
      </c>
      <c r="K433" s="5">
        <v>44583</v>
      </c>
      <c r="L433" s="5">
        <v>44607</v>
      </c>
      <c r="M433" s="5">
        <v>44609</v>
      </c>
      <c r="N433" s="6">
        <f t="shared" si="30"/>
        <v>2</v>
      </c>
      <c r="O433" s="4" t="s">
        <v>28</v>
      </c>
      <c r="P433" s="4">
        <v>1342.54</v>
      </c>
      <c r="Q433" s="4"/>
      <c r="R433" s="4" t="str">
        <f t="shared" si="27"/>
        <v>2022</v>
      </c>
      <c r="S433" s="4" t="str">
        <f t="shared" si="28"/>
        <v>February</v>
      </c>
      <c r="T433" s="4">
        <f t="shared" si="29"/>
        <v>1342.54</v>
      </c>
      <c r="U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row>
    <row r="434" spans="1:53" ht="19.95" customHeight="1">
      <c r="A434" s="4">
        <v>433</v>
      </c>
      <c r="B434" s="4" t="s">
        <v>1325</v>
      </c>
      <c r="C434" s="4" t="s">
        <v>20</v>
      </c>
      <c r="D434" s="4" t="s">
        <v>56</v>
      </c>
      <c r="E434" s="4" t="s">
        <v>39</v>
      </c>
      <c r="F434" s="4" t="s">
        <v>23</v>
      </c>
      <c r="G434" s="4" t="s">
        <v>24</v>
      </c>
      <c r="H434" s="4" t="s">
        <v>25</v>
      </c>
      <c r="I434" s="4" t="s">
        <v>1326</v>
      </c>
      <c r="J434" s="4" t="s">
        <v>1327</v>
      </c>
      <c r="K434" s="5">
        <v>44582</v>
      </c>
      <c r="L434" s="5">
        <v>44615</v>
      </c>
      <c r="M434" s="5">
        <v>44635</v>
      </c>
      <c r="N434" s="6">
        <f t="shared" si="30"/>
        <v>20</v>
      </c>
      <c r="O434" s="4" t="s">
        <v>28</v>
      </c>
      <c r="P434" s="4">
        <v>6090.97</v>
      </c>
      <c r="Q434" s="4"/>
      <c r="R434" s="4" t="str">
        <f t="shared" si="27"/>
        <v>2022</v>
      </c>
      <c r="S434" s="4" t="str">
        <f t="shared" si="28"/>
        <v>February</v>
      </c>
      <c r="T434" s="4">
        <f t="shared" si="29"/>
        <v>6090.97</v>
      </c>
      <c r="U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row>
    <row r="435" spans="1:53" ht="19.95" customHeight="1">
      <c r="A435" s="4">
        <v>434</v>
      </c>
      <c r="B435" s="4" t="s">
        <v>1328</v>
      </c>
      <c r="C435" s="4" t="s">
        <v>20</v>
      </c>
      <c r="D435" s="4" t="s">
        <v>56</v>
      </c>
      <c r="E435" s="4" t="s">
        <v>39</v>
      </c>
      <c r="F435" s="4" t="s">
        <v>23</v>
      </c>
      <c r="G435" s="4" t="s">
        <v>24</v>
      </c>
      <c r="H435" s="4" t="s">
        <v>25</v>
      </c>
      <c r="I435" s="4" t="s">
        <v>1329</v>
      </c>
      <c r="J435" s="4" t="s">
        <v>1330</v>
      </c>
      <c r="K435" s="5">
        <v>44582</v>
      </c>
      <c r="L435" s="5">
        <v>44611</v>
      </c>
      <c r="M435" s="5">
        <v>44618</v>
      </c>
      <c r="N435" s="6">
        <f t="shared" si="30"/>
        <v>7</v>
      </c>
      <c r="O435" s="4" t="s">
        <v>28</v>
      </c>
      <c r="P435" s="4">
        <v>2431.75</v>
      </c>
      <c r="Q435" s="4"/>
      <c r="R435" s="4" t="str">
        <f t="shared" si="27"/>
        <v>2022</v>
      </c>
      <c r="S435" s="4" t="str">
        <f t="shared" si="28"/>
        <v>February</v>
      </c>
      <c r="T435" s="4">
        <f t="shared" si="29"/>
        <v>2431.75</v>
      </c>
      <c r="U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row>
    <row r="436" spans="1:53" ht="19.95" customHeight="1">
      <c r="A436" s="4">
        <v>435</v>
      </c>
      <c r="B436" s="4" t="s">
        <v>1331</v>
      </c>
      <c r="C436" s="4" t="s">
        <v>20</v>
      </c>
      <c r="D436" s="4" t="s">
        <v>21</v>
      </c>
      <c r="E436" s="4" t="s">
        <v>455</v>
      </c>
      <c r="F436" s="4" t="s">
        <v>23</v>
      </c>
      <c r="G436" s="4" t="s">
        <v>24</v>
      </c>
      <c r="H436" s="4" t="s">
        <v>25</v>
      </c>
      <c r="I436" s="4" t="s">
        <v>1332</v>
      </c>
      <c r="J436" s="4" t="s">
        <v>1333</v>
      </c>
      <c r="K436" s="5">
        <v>44582</v>
      </c>
      <c r="L436" s="5">
        <v>44583</v>
      </c>
      <c r="M436" s="5">
        <v>44596</v>
      </c>
      <c r="N436" s="6">
        <f t="shared" si="30"/>
        <v>13</v>
      </c>
      <c r="O436" s="4" t="s">
        <v>28</v>
      </c>
      <c r="P436" s="4">
        <v>3502.96</v>
      </c>
      <c r="Q436" s="4"/>
      <c r="R436" s="4" t="str">
        <f t="shared" si="27"/>
        <v>2022</v>
      </c>
      <c r="S436" s="4" t="str">
        <f t="shared" si="28"/>
        <v>January</v>
      </c>
      <c r="T436" s="4">
        <f t="shared" si="29"/>
        <v>3502.96</v>
      </c>
      <c r="U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row>
    <row r="437" spans="1:53" ht="19.95" customHeight="1">
      <c r="A437" s="4">
        <v>436</v>
      </c>
      <c r="B437" s="4" t="s">
        <v>1334</v>
      </c>
      <c r="C437" s="4" t="s">
        <v>65</v>
      </c>
      <c r="D437" s="4" t="s">
        <v>56</v>
      </c>
      <c r="E437" s="4" t="s">
        <v>455</v>
      </c>
      <c r="F437" s="4" t="s">
        <v>1335</v>
      </c>
      <c r="G437" s="4" t="s">
        <v>24</v>
      </c>
      <c r="H437" s="4" t="s">
        <v>1336</v>
      </c>
      <c r="I437" s="4" t="s">
        <v>1337</v>
      </c>
      <c r="J437" s="4"/>
      <c r="K437" s="5">
        <v>44580</v>
      </c>
      <c r="L437" s="5">
        <v>44565</v>
      </c>
      <c r="M437" s="5">
        <v>44565</v>
      </c>
      <c r="N437" s="6">
        <f t="shared" si="30"/>
        <v>0</v>
      </c>
      <c r="O437" s="4" t="s">
        <v>28</v>
      </c>
      <c r="P437" s="4">
        <v>250</v>
      </c>
      <c r="Q437" s="4"/>
      <c r="R437" s="4" t="str">
        <f t="shared" si="27"/>
        <v>2022</v>
      </c>
      <c r="S437" s="4" t="str">
        <f t="shared" si="28"/>
        <v>January</v>
      </c>
      <c r="T437" s="4">
        <f t="shared" si="29"/>
        <v>250</v>
      </c>
      <c r="U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row>
    <row r="438" spans="1:53" ht="19.95" customHeight="1">
      <c r="A438" s="4">
        <v>437</v>
      </c>
      <c r="B438" s="4" t="s">
        <v>1338</v>
      </c>
      <c r="C438" s="4" t="s">
        <v>20</v>
      </c>
      <c r="D438" s="4" t="s">
        <v>21</v>
      </c>
      <c r="E438" s="4" t="s">
        <v>455</v>
      </c>
      <c r="F438" s="4" t="s">
        <v>23</v>
      </c>
      <c r="G438" s="4" t="s">
        <v>24</v>
      </c>
      <c r="H438" s="4" t="s">
        <v>25</v>
      </c>
      <c r="I438" s="4" t="s">
        <v>1339</v>
      </c>
      <c r="J438" s="4"/>
      <c r="K438" s="5">
        <v>44579</v>
      </c>
      <c r="L438" s="5">
        <v>44638</v>
      </c>
      <c r="M438" s="5">
        <v>44653</v>
      </c>
      <c r="N438" s="6">
        <f t="shared" si="30"/>
        <v>15</v>
      </c>
      <c r="O438" s="4" t="s">
        <v>28</v>
      </c>
      <c r="P438" s="4">
        <v>4682.79</v>
      </c>
      <c r="Q438" s="4"/>
      <c r="R438" s="4" t="str">
        <f t="shared" si="27"/>
        <v>2022</v>
      </c>
      <c r="S438" s="4" t="str">
        <f t="shared" si="28"/>
        <v>March</v>
      </c>
      <c r="T438" s="4">
        <f t="shared" si="29"/>
        <v>4682.79</v>
      </c>
      <c r="U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row>
    <row r="439" spans="1:53" ht="19.95" customHeight="1">
      <c r="A439" s="4">
        <v>438</v>
      </c>
      <c r="B439" s="4" t="s">
        <v>1340</v>
      </c>
      <c r="C439" s="4" t="s">
        <v>20</v>
      </c>
      <c r="D439" s="4" t="s">
        <v>21</v>
      </c>
      <c r="E439" s="4" t="s">
        <v>455</v>
      </c>
      <c r="F439" s="4" t="s">
        <v>23</v>
      </c>
      <c r="G439" s="4" t="s">
        <v>24</v>
      </c>
      <c r="H439" s="4" t="s">
        <v>25</v>
      </c>
      <c r="I439" s="4" t="s">
        <v>1341</v>
      </c>
      <c r="J439" s="4" t="s">
        <v>1342</v>
      </c>
      <c r="K439" s="5">
        <v>44579</v>
      </c>
      <c r="L439" s="5">
        <v>44599</v>
      </c>
      <c r="M439" s="5">
        <v>44606</v>
      </c>
      <c r="N439" s="6">
        <f t="shared" si="30"/>
        <v>7</v>
      </c>
      <c r="O439" s="4" t="s">
        <v>28</v>
      </c>
      <c r="P439" s="4">
        <v>1716.2</v>
      </c>
      <c r="Q439" s="4"/>
      <c r="R439" s="4" t="str">
        <f t="shared" si="27"/>
        <v>2022</v>
      </c>
      <c r="S439" s="4" t="str">
        <f t="shared" si="28"/>
        <v>February</v>
      </c>
      <c r="T439" s="4">
        <f t="shared" si="29"/>
        <v>1716.2</v>
      </c>
      <c r="U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row>
    <row r="440" spans="1:53" ht="19.95" customHeight="1">
      <c r="A440" s="4">
        <v>439</v>
      </c>
      <c r="B440" s="4" t="s">
        <v>1343</v>
      </c>
      <c r="C440" s="4" t="s">
        <v>20</v>
      </c>
      <c r="D440" s="4" t="s">
        <v>21</v>
      </c>
      <c r="E440" s="4" t="s">
        <v>39</v>
      </c>
      <c r="F440" s="4" t="s">
        <v>1344</v>
      </c>
      <c r="G440" s="4" t="s">
        <v>24</v>
      </c>
      <c r="H440" s="4" t="s">
        <v>1345</v>
      </c>
      <c r="I440" s="4" t="s">
        <v>1346</v>
      </c>
      <c r="J440" s="4" t="s">
        <v>1347</v>
      </c>
      <c r="K440" s="5">
        <v>44579</v>
      </c>
      <c r="L440" s="5">
        <v>44613</v>
      </c>
      <c r="M440" s="5">
        <v>44626</v>
      </c>
      <c r="N440" s="6">
        <f t="shared" si="30"/>
        <v>13</v>
      </c>
      <c r="O440" s="4" t="s">
        <v>28</v>
      </c>
      <c r="P440" s="4">
        <v>6493.69</v>
      </c>
      <c r="Q440" s="4"/>
      <c r="R440" s="4" t="str">
        <f t="shared" si="27"/>
        <v>2022</v>
      </c>
      <c r="S440" s="4" t="str">
        <f t="shared" si="28"/>
        <v>February</v>
      </c>
      <c r="T440" s="4">
        <f t="shared" si="29"/>
        <v>6493.69</v>
      </c>
      <c r="U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row>
    <row r="441" spans="1:53" ht="19.95" customHeight="1">
      <c r="A441" s="4">
        <v>440</v>
      </c>
      <c r="B441" s="4" t="s">
        <v>1348</v>
      </c>
      <c r="C441" s="4" t="s">
        <v>20</v>
      </c>
      <c r="D441" s="4" t="s">
        <v>21</v>
      </c>
      <c r="E441" s="4" t="s">
        <v>39</v>
      </c>
      <c r="F441" s="4" t="s">
        <v>23</v>
      </c>
      <c r="G441" s="4" t="s">
        <v>24</v>
      </c>
      <c r="H441" s="4" t="s">
        <v>25</v>
      </c>
      <c r="I441" s="4" t="s">
        <v>1349</v>
      </c>
      <c r="J441" s="4" t="s">
        <v>1350</v>
      </c>
      <c r="K441" s="5">
        <v>44578</v>
      </c>
      <c r="L441" s="5">
        <v>44654</v>
      </c>
      <c r="M441" s="5">
        <v>44667</v>
      </c>
      <c r="N441" s="6">
        <f t="shared" si="30"/>
        <v>13</v>
      </c>
      <c r="O441" s="4" t="s">
        <v>28</v>
      </c>
      <c r="P441" s="4">
        <v>8962.75</v>
      </c>
      <c r="Q441" s="4"/>
      <c r="R441" s="4" t="str">
        <f t="shared" si="27"/>
        <v>2022</v>
      </c>
      <c r="S441" s="4" t="str">
        <f t="shared" si="28"/>
        <v>April</v>
      </c>
      <c r="T441" s="4">
        <f t="shared" si="29"/>
        <v>8962.75</v>
      </c>
      <c r="U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row>
    <row r="442" spans="1:53" ht="19.95" customHeight="1">
      <c r="A442" s="4">
        <v>441</v>
      </c>
      <c r="B442" s="4" t="s">
        <v>1351</v>
      </c>
      <c r="C442" s="4" t="s">
        <v>20</v>
      </c>
      <c r="D442" s="4" t="s">
        <v>21</v>
      </c>
      <c r="E442" s="4" t="s">
        <v>39</v>
      </c>
      <c r="F442" s="4" t="s">
        <v>43</v>
      </c>
      <c r="G442" s="4" t="s">
        <v>24</v>
      </c>
      <c r="H442" s="4" t="s">
        <v>44</v>
      </c>
      <c r="I442" s="4" t="s">
        <v>1352</v>
      </c>
      <c r="J442" s="4" t="s">
        <v>1353</v>
      </c>
      <c r="K442" s="5">
        <v>44578</v>
      </c>
      <c r="L442" s="5">
        <v>44584</v>
      </c>
      <c r="M442" s="5">
        <v>44621</v>
      </c>
      <c r="N442" s="6">
        <f t="shared" si="30"/>
        <v>37</v>
      </c>
      <c r="O442" s="4" t="s">
        <v>28</v>
      </c>
      <c r="P442" s="4">
        <v>19353.89</v>
      </c>
      <c r="Q442" s="4"/>
      <c r="R442" s="4" t="str">
        <f t="shared" si="27"/>
        <v>2022</v>
      </c>
      <c r="S442" s="4" t="str">
        <f t="shared" si="28"/>
        <v>January</v>
      </c>
      <c r="T442" s="4">
        <f t="shared" si="29"/>
        <v>19353.89</v>
      </c>
      <c r="U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row>
    <row r="443" spans="1:53" ht="19.95" customHeight="1">
      <c r="A443" s="4">
        <v>442</v>
      </c>
      <c r="B443" s="4" t="s">
        <v>1354</v>
      </c>
      <c r="C443" s="4" t="s">
        <v>20</v>
      </c>
      <c r="D443" s="4" t="s">
        <v>21</v>
      </c>
      <c r="E443" s="4" t="s">
        <v>455</v>
      </c>
      <c r="F443" s="4" t="s">
        <v>23</v>
      </c>
      <c r="G443" s="4" t="s">
        <v>24</v>
      </c>
      <c r="H443" s="4" t="s">
        <v>25</v>
      </c>
      <c r="I443" s="4" t="s">
        <v>1355</v>
      </c>
      <c r="J443" s="4"/>
      <c r="K443" s="5">
        <v>44576</v>
      </c>
      <c r="L443" s="5">
        <v>44600</v>
      </c>
      <c r="M443" s="5">
        <v>44613</v>
      </c>
      <c r="N443" s="6">
        <f t="shared" si="30"/>
        <v>13</v>
      </c>
      <c r="O443" s="4" t="s">
        <v>28</v>
      </c>
      <c r="P443" s="4">
        <v>10057.26</v>
      </c>
      <c r="Q443" s="4"/>
      <c r="R443" s="4" t="str">
        <f t="shared" si="27"/>
        <v>2022</v>
      </c>
      <c r="S443" s="4" t="str">
        <f t="shared" si="28"/>
        <v>February</v>
      </c>
      <c r="T443" s="4">
        <f t="shared" si="29"/>
        <v>10057.26</v>
      </c>
      <c r="U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row>
    <row r="444" spans="1:53" ht="19.95" customHeight="1">
      <c r="A444" s="4">
        <v>443</v>
      </c>
      <c r="B444" s="4" t="s">
        <v>1356</v>
      </c>
      <c r="C444" s="4" t="s">
        <v>65</v>
      </c>
      <c r="D444" s="4" t="s">
        <v>56</v>
      </c>
      <c r="E444" s="4" t="s">
        <v>1357</v>
      </c>
      <c r="F444" s="4" t="s">
        <v>589</v>
      </c>
      <c r="G444" s="4" t="s">
        <v>24</v>
      </c>
      <c r="H444" s="4" t="s">
        <v>346</v>
      </c>
      <c r="I444" s="4" t="s">
        <v>1358</v>
      </c>
      <c r="J444" s="4" t="s">
        <v>1359</v>
      </c>
      <c r="K444" s="5">
        <v>44573</v>
      </c>
      <c r="L444" s="5">
        <v>44748</v>
      </c>
      <c r="M444" s="5">
        <v>44763</v>
      </c>
      <c r="N444" s="6">
        <f t="shared" si="30"/>
        <v>15</v>
      </c>
      <c r="O444" s="4" t="s">
        <v>28</v>
      </c>
      <c r="P444" s="4">
        <v>9425.6200000000008</v>
      </c>
      <c r="Q444" s="4"/>
      <c r="R444" s="4" t="str">
        <f t="shared" si="27"/>
        <v>2022</v>
      </c>
      <c r="S444" s="4" t="str">
        <f t="shared" si="28"/>
        <v>July</v>
      </c>
      <c r="T444" s="4">
        <f t="shared" si="29"/>
        <v>9425.6200000000008</v>
      </c>
      <c r="U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row>
    <row r="445" spans="1:53" ht="19.95" customHeight="1">
      <c r="A445" s="4">
        <v>444</v>
      </c>
      <c r="B445" s="4" t="s">
        <v>1360</v>
      </c>
      <c r="C445" s="4" t="s">
        <v>20</v>
      </c>
      <c r="D445" s="4" t="s">
        <v>21</v>
      </c>
      <c r="E445" s="4" t="s">
        <v>76</v>
      </c>
      <c r="F445" s="4" t="s">
        <v>23</v>
      </c>
      <c r="G445" s="4" t="s">
        <v>24</v>
      </c>
      <c r="H445" s="4" t="s">
        <v>25</v>
      </c>
      <c r="I445" s="4" t="s">
        <v>1361</v>
      </c>
      <c r="J445" s="4" t="s">
        <v>1362</v>
      </c>
      <c r="K445" s="5">
        <v>44573</v>
      </c>
      <c r="L445" s="5">
        <v>44594</v>
      </c>
      <c r="M445" s="5">
        <v>44597</v>
      </c>
      <c r="N445" s="6">
        <f t="shared" si="30"/>
        <v>3</v>
      </c>
      <c r="O445" s="4" t="s">
        <v>28</v>
      </c>
      <c r="P445" s="4">
        <v>292</v>
      </c>
      <c r="Q445" s="4"/>
      <c r="R445" s="4" t="str">
        <f t="shared" si="27"/>
        <v>2022</v>
      </c>
      <c r="S445" s="4" t="str">
        <f t="shared" si="28"/>
        <v>February</v>
      </c>
      <c r="T445" s="4">
        <f t="shared" si="29"/>
        <v>292</v>
      </c>
      <c r="U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row>
    <row r="446" spans="1:53" ht="19.95" customHeight="1">
      <c r="A446" s="4">
        <v>445</v>
      </c>
      <c r="B446" s="4" t="s">
        <v>1363</v>
      </c>
      <c r="C446" s="4" t="s">
        <v>20</v>
      </c>
      <c r="D446" s="4" t="s">
        <v>21</v>
      </c>
      <c r="E446" s="4" t="s">
        <v>455</v>
      </c>
      <c r="F446" s="4" t="s">
        <v>23</v>
      </c>
      <c r="G446" s="4" t="s">
        <v>24</v>
      </c>
      <c r="H446" s="4" t="s">
        <v>25</v>
      </c>
      <c r="I446" s="4" t="s">
        <v>1364</v>
      </c>
      <c r="J446" s="4" t="s">
        <v>1365</v>
      </c>
      <c r="K446" s="5">
        <v>44572</v>
      </c>
      <c r="L446" s="5">
        <v>44595</v>
      </c>
      <c r="M446" s="5">
        <v>44616</v>
      </c>
      <c r="N446" s="6">
        <f t="shared" si="30"/>
        <v>21</v>
      </c>
      <c r="O446" s="4" t="s">
        <v>28</v>
      </c>
      <c r="P446" s="4">
        <v>10077.370000000001</v>
      </c>
      <c r="Q446" s="4"/>
      <c r="R446" s="4" t="str">
        <f t="shared" si="27"/>
        <v>2022</v>
      </c>
      <c r="S446" s="4" t="str">
        <f t="shared" si="28"/>
        <v>February</v>
      </c>
      <c r="T446" s="4">
        <f t="shared" si="29"/>
        <v>10077.370000000001</v>
      </c>
      <c r="U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row>
    <row r="447" spans="1:53" ht="19.95" customHeight="1">
      <c r="A447" s="4">
        <v>446</v>
      </c>
      <c r="B447" s="4" t="s">
        <v>1366</v>
      </c>
      <c r="C447" s="4" t="s">
        <v>20</v>
      </c>
      <c r="D447" s="4" t="s">
        <v>38</v>
      </c>
      <c r="E447" s="4" t="s">
        <v>39</v>
      </c>
      <c r="F447" s="4" t="s">
        <v>23</v>
      </c>
      <c r="G447" s="4" t="s">
        <v>24</v>
      </c>
      <c r="H447" s="4" t="s">
        <v>25</v>
      </c>
      <c r="I447" s="4" t="s">
        <v>1367</v>
      </c>
      <c r="J447" s="4" t="s">
        <v>198</v>
      </c>
      <c r="K447" s="5">
        <v>44569</v>
      </c>
      <c r="L447" s="5">
        <v>44660</v>
      </c>
      <c r="M447" s="5">
        <v>44671</v>
      </c>
      <c r="N447" s="6">
        <f t="shared" si="30"/>
        <v>11</v>
      </c>
      <c r="O447" s="4" t="s">
        <v>28</v>
      </c>
      <c r="P447" s="4">
        <v>14835.14</v>
      </c>
      <c r="Q447" s="4"/>
      <c r="R447" s="4" t="str">
        <f t="shared" si="27"/>
        <v>2022</v>
      </c>
      <c r="S447" s="4" t="str">
        <f t="shared" si="28"/>
        <v>April</v>
      </c>
      <c r="T447" s="4">
        <f t="shared" si="29"/>
        <v>14835.14</v>
      </c>
      <c r="U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row>
    <row r="448" spans="1:53" ht="19.95" customHeight="1">
      <c r="A448" s="4">
        <v>447</v>
      </c>
      <c r="B448" s="4" t="s">
        <v>1368</v>
      </c>
      <c r="C448" s="4" t="s">
        <v>20</v>
      </c>
      <c r="D448" s="4" t="s">
        <v>21</v>
      </c>
      <c r="E448" s="4" t="s">
        <v>39</v>
      </c>
      <c r="F448" s="4" t="s">
        <v>23</v>
      </c>
      <c r="G448" s="4" t="s">
        <v>24</v>
      </c>
      <c r="H448" s="4" t="s">
        <v>25</v>
      </c>
      <c r="I448" s="4" t="s">
        <v>1369</v>
      </c>
      <c r="J448" s="4" t="s">
        <v>1370</v>
      </c>
      <c r="K448" s="5">
        <v>44569</v>
      </c>
      <c r="L448" s="5">
        <v>44590</v>
      </c>
      <c r="M448" s="5">
        <v>44600</v>
      </c>
      <c r="N448" s="6">
        <f t="shared" si="30"/>
        <v>10</v>
      </c>
      <c r="O448" s="4" t="s">
        <v>28</v>
      </c>
      <c r="P448" s="4">
        <v>3840.86</v>
      </c>
      <c r="Q448" s="4"/>
      <c r="R448" s="4" t="str">
        <f t="shared" si="27"/>
        <v>2022</v>
      </c>
      <c r="S448" s="4" t="str">
        <f t="shared" si="28"/>
        <v>January</v>
      </c>
      <c r="T448" s="4">
        <f t="shared" si="29"/>
        <v>3840.86</v>
      </c>
      <c r="U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row>
    <row r="449" spans="1:53" ht="19.95" customHeight="1">
      <c r="A449" s="4">
        <v>448</v>
      </c>
      <c r="B449" s="4" t="s">
        <v>1371</v>
      </c>
      <c r="C449" s="4" t="s">
        <v>20</v>
      </c>
      <c r="D449" s="4" t="s">
        <v>21</v>
      </c>
      <c r="E449" s="4" t="s">
        <v>39</v>
      </c>
      <c r="F449" s="4" t="s">
        <v>23</v>
      </c>
      <c r="G449" s="4" t="s">
        <v>24</v>
      </c>
      <c r="H449" s="4" t="s">
        <v>25</v>
      </c>
      <c r="I449" s="4" t="s">
        <v>1372</v>
      </c>
      <c r="J449" s="4" t="s">
        <v>1373</v>
      </c>
      <c r="K449" s="5">
        <v>44566</v>
      </c>
      <c r="L449" s="5">
        <v>44592</v>
      </c>
      <c r="M449" s="5">
        <v>44603</v>
      </c>
      <c r="N449" s="6">
        <f t="shared" ref="N449:N474" si="31">M449-L449</f>
        <v>11</v>
      </c>
      <c r="O449" s="4" t="s">
        <v>28</v>
      </c>
      <c r="P449" s="4">
        <v>6145.06</v>
      </c>
      <c r="Q449" s="4"/>
      <c r="R449" s="4" t="str">
        <f t="shared" si="27"/>
        <v>2022</v>
      </c>
      <c r="S449" s="4" t="str">
        <f t="shared" si="28"/>
        <v>January</v>
      </c>
      <c r="T449" s="4">
        <f t="shared" si="29"/>
        <v>6145.06</v>
      </c>
      <c r="U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row>
    <row r="450" spans="1:53" ht="19.95" customHeight="1">
      <c r="A450" s="4">
        <v>449</v>
      </c>
      <c r="B450" s="4" t="s">
        <v>1374</v>
      </c>
      <c r="C450" s="4" t="s">
        <v>20</v>
      </c>
      <c r="D450" s="4" t="s">
        <v>38</v>
      </c>
      <c r="E450" s="4" t="s">
        <v>39</v>
      </c>
      <c r="F450" s="4" t="s">
        <v>23</v>
      </c>
      <c r="G450" s="4" t="s">
        <v>24</v>
      </c>
      <c r="H450" s="4" t="s">
        <v>25</v>
      </c>
      <c r="I450" s="4" t="s">
        <v>1375</v>
      </c>
      <c r="J450" s="4" t="s">
        <v>1376</v>
      </c>
      <c r="K450" s="5">
        <v>44566</v>
      </c>
      <c r="L450" s="5">
        <v>44604</v>
      </c>
      <c r="M450" s="5">
        <v>44611</v>
      </c>
      <c r="N450" s="6">
        <f t="shared" si="31"/>
        <v>7</v>
      </c>
      <c r="O450" s="4" t="s">
        <v>28</v>
      </c>
      <c r="P450" s="4">
        <v>4255.51</v>
      </c>
      <c r="Q450" s="4"/>
      <c r="R450" s="4" t="str">
        <f t="shared" ref="R450:R513" si="32">TEXT(L450,"YYY")</f>
        <v>2022</v>
      </c>
      <c r="S450" s="4" t="str">
        <f t="shared" ref="S450:S513" si="33">TEXT(L450,"MMMM")</f>
        <v>February</v>
      </c>
      <c r="T450" s="4">
        <f t="shared" ref="T450:T513" si="34">P450</f>
        <v>4255.51</v>
      </c>
      <c r="U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row>
    <row r="451" spans="1:53" ht="19.95" customHeight="1">
      <c r="A451" s="4">
        <v>450</v>
      </c>
      <c r="B451" s="4" t="s">
        <v>1377</v>
      </c>
      <c r="C451" s="4" t="s">
        <v>20</v>
      </c>
      <c r="D451" s="4" t="s">
        <v>38</v>
      </c>
      <c r="E451" s="4" t="s">
        <v>39</v>
      </c>
      <c r="F451" s="4" t="s">
        <v>23</v>
      </c>
      <c r="G451" s="4" t="s">
        <v>24</v>
      </c>
      <c r="H451" s="4" t="s">
        <v>25</v>
      </c>
      <c r="I451" s="4" t="s">
        <v>1378</v>
      </c>
      <c r="J451" s="4" t="s">
        <v>1379</v>
      </c>
      <c r="K451" s="5">
        <v>44566</v>
      </c>
      <c r="L451" s="5">
        <v>44614</v>
      </c>
      <c r="M451" s="5">
        <v>44628</v>
      </c>
      <c r="N451" s="6">
        <f t="shared" si="31"/>
        <v>14</v>
      </c>
      <c r="O451" s="4" t="s">
        <v>28</v>
      </c>
      <c r="P451" s="4">
        <v>4718.66</v>
      </c>
      <c r="Q451" s="4"/>
      <c r="R451" s="4" t="str">
        <f t="shared" si="32"/>
        <v>2022</v>
      </c>
      <c r="S451" s="4" t="str">
        <f t="shared" si="33"/>
        <v>February</v>
      </c>
      <c r="T451" s="4">
        <f t="shared" si="34"/>
        <v>4718.66</v>
      </c>
      <c r="U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row>
    <row r="452" spans="1:53" ht="19.95" customHeight="1">
      <c r="A452" s="4">
        <v>451</v>
      </c>
      <c r="B452" s="4" t="s">
        <v>1380</v>
      </c>
      <c r="C452" s="4" t="s">
        <v>20</v>
      </c>
      <c r="D452" s="4" t="s">
        <v>30</v>
      </c>
      <c r="E452" s="4" t="s">
        <v>1381</v>
      </c>
      <c r="F452" s="4" t="s">
        <v>24</v>
      </c>
      <c r="G452" s="4" t="s">
        <v>24</v>
      </c>
      <c r="H452" s="4" t="s">
        <v>200</v>
      </c>
      <c r="I452" s="4" t="s">
        <v>201</v>
      </c>
      <c r="J452" s="4" t="s">
        <v>202</v>
      </c>
      <c r="K452" s="5">
        <v>44565</v>
      </c>
      <c r="L452" s="5">
        <v>44570</v>
      </c>
      <c r="M452" s="5">
        <v>44575</v>
      </c>
      <c r="N452" s="6">
        <f t="shared" si="31"/>
        <v>5</v>
      </c>
      <c r="O452" s="4" t="s">
        <v>28</v>
      </c>
      <c r="P452" s="4">
        <v>307</v>
      </c>
      <c r="Q452" s="4"/>
      <c r="R452" s="4" t="str">
        <f t="shared" si="32"/>
        <v>2022</v>
      </c>
      <c r="S452" s="4" t="str">
        <f t="shared" si="33"/>
        <v>January</v>
      </c>
      <c r="T452" s="4">
        <f t="shared" si="34"/>
        <v>307</v>
      </c>
      <c r="U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row>
    <row r="453" spans="1:53" ht="19.95" customHeight="1">
      <c r="A453" s="4">
        <v>452</v>
      </c>
      <c r="B453" s="4" t="s">
        <v>1382</v>
      </c>
      <c r="C453" s="4" t="s">
        <v>65</v>
      </c>
      <c r="D453" s="4" t="s">
        <v>1383</v>
      </c>
      <c r="E453" s="4" t="s">
        <v>1384</v>
      </c>
      <c r="F453" s="4" t="s">
        <v>1385</v>
      </c>
      <c r="G453" s="4" t="s">
        <v>24</v>
      </c>
      <c r="H453" s="4" t="s">
        <v>1386</v>
      </c>
      <c r="I453" s="4" t="s">
        <v>1387</v>
      </c>
      <c r="J453" s="4" t="s">
        <v>1388</v>
      </c>
      <c r="K453" s="5">
        <v>44565</v>
      </c>
      <c r="L453" s="5">
        <v>44567</v>
      </c>
      <c r="M453" s="5">
        <v>44584</v>
      </c>
      <c r="N453" s="6">
        <f t="shared" si="31"/>
        <v>17</v>
      </c>
      <c r="O453" s="4" t="s">
        <v>28</v>
      </c>
      <c r="P453" s="4">
        <v>1032.83</v>
      </c>
      <c r="Q453" s="4"/>
      <c r="R453" s="4" t="str">
        <f t="shared" si="32"/>
        <v>2022</v>
      </c>
      <c r="S453" s="4" t="str">
        <f t="shared" si="33"/>
        <v>January</v>
      </c>
      <c r="T453" s="4">
        <f t="shared" si="34"/>
        <v>1032.83</v>
      </c>
      <c r="U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row>
    <row r="454" spans="1:53" ht="19.95" customHeight="1">
      <c r="A454" s="4">
        <v>453</v>
      </c>
      <c r="B454" s="4" t="s">
        <v>1389</v>
      </c>
      <c r="C454" s="4" t="s">
        <v>20</v>
      </c>
      <c r="D454" s="4" t="s">
        <v>21</v>
      </c>
      <c r="E454" s="4" t="s">
        <v>39</v>
      </c>
      <c r="F454" s="4" t="s">
        <v>43</v>
      </c>
      <c r="G454" s="4" t="s">
        <v>24</v>
      </c>
      <c r="H454" s="4" t="s">
        <v>44</v>
      </c>
      <c r="I454" s="4" t="s">
        <v>1390</v>
      </c>
      <c r="J454" s="4" t="s">
        <v>1391</v>
      </c>
      <c r="K454" s="5">
        <v>44564</v>
      </c>
      <c r="L454" s="5">
        <v>44599</v>
      </c>
      <c r="M454" s="5">
        <v>44606</v>
      </c>
      <c r="N454" s="6">
        <f t="shared" si="31"/>
        <v>7</v>
      </c>
      <c r="O454" s="4" t="s">
        <v>28</v>
      </c>
      <c r="P454" s="4">
        <v>3599.19</v>
      </c>
      <c r="Q454" s="4"/>
      <c r="R454" s="4" t="str">
        <f t="shared" si="32"/>
        <v>2022</v>
      </c>
      <c r="S454" s="4" t="str">
        <f t="shared" si="33"/>
        <v>February</v>
      </c>
      <c r="T454" s="4">
        <f t="shared" si="34"/>
        <v>3599.19</v>
      </c>
      <c r="U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row>
    <row r="455" spans="1:53" ht="19.95" customHeight="1">
      <c r="A455" s="4">
        <v>454</v>
      </c>
      <c r="B455" s="4" t="s">
        <v>1392</v>
      </c>
      <c r="C455" s="4" t="s">
        <v>65</v>
      </c>
      <c r="D455" s="4" t="s">
        <v>56</v>
      </c>
      <c r="E455" s="4" t="s">
        <v>455</v>
      </c>
      <c r="F455" s="4" t="s">
        <v>1335</v>
      </c>
      <c r="G455" s="4" t="s">
        <v>24</v>
      </c>
      <c r="H455" s="4" t="s">
        <v>1336</v>
      </c>
      <c r="I455" s="4" t="s">
        <v>1393</v>
      </c>
      <c r="J455" s="4"/>
      <c r="K455" s="5">
        <v>44560</v>
      </c>
      <c r="L455" s="5">
        <v>44566</v>
      </c>
      <c r="M455" s="5">
        <v>44569</v>
      </c>
      <c r="N455" s="6">
        <f t="shared" si="31"/>
        <v>3</v>
      </c>
      <c r="O455" s="4" t="s">
        <v>28</v>
      </c>
      <c r="P455" s="4">
        <v>17221.62</v>
      </c>
      <c r="Q455" s="4"/>
      <c r="R455" s="4" t="str">
        <f t="shared" si="32"/>
        <v>2022</v>
      </c>
      <c r="S455" s="4" t="str">
        <f t="shared" si="33"/>
        <v>January</v>
      </c>
      <c r="T455" s="4">
        <f t="shared" si="34"/>
        <v>17221.62</v>
      </c>
      <c r="U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row>
    <row r="456" spans="1:53" ht="19.95" customHeight="1">
      <c r="A456" s="4">
        <v>455</v>
      </c>
      <c r="B456" s="4" t="s">
        <v>1394</v>
      </c>
      <c r="C456" s="4" t="s">
        <v>65</v>
      </c>
      <c r="D456" s="4" t="s">
        <v>1383</v>
      </c>
      <c r="E456" s="4" t="s">
        <v>1384</v>
      </c>
      <c r="F456" s="4" t="s">
        <v>23</v>
      </c>
      <c r="G456" s="4" t="s">
        <v>24</v>
      </c>
      <c r="H456" s="4" t="s">
        <v>25</v>
      </c>
      <c r="I456" s="4" t="s">
        <v>1153</v>
      </c>
      <c r="J456" s="4" t="s">
        <v>1388</v>
      </c>
      <c r="K456" s="5">
        <v>44552</v>
      </c>
      <c r="L456" s="5">
        <v>44659</v>
      </c>
      <c r="M456" s="5">
        <v>44666</v>
      </c>
      <c r="N456" s="6">
        <f t="shared" si="31"/>
        <v>7</v>
      </c>
      <c r="O456" s="4" t="s">
        <v>28</v>
      </c>
      <c r="P456" s="4">
        <v>7375.85</v>
      </c>
      <c r="Q456" s="4"/>
      <c r="R456" s="4" t="str">
        <f t="shared" si="32"/>
        <v>2022</v>
      </c>
      <c r="S456" s="4" t="str">
        <f t="shared" si="33"/>
        <v>April</v>
      </c>
      <c r="T456" s="4">
        <f t="shared" si="34"/>
        <v>7375.85</v>
      </c>
      <c r="U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row>
    <row r="457" spans="1:53" ht="19.95" customHeight="1">
      <c r="A457" s="4">
        <v>456</v>
      </c>
      <c r="B457" s="4" t="s">
        <v>1395</v>
      </c>
      <c r="C457" s="4" t="s">
        <v>65</v>
      </c>
      <c r="D457" s="4" t="s">
        <v>1383</v>
      </c>
      <c r="E457" s="4" t="s">
        <v>1384</v>
      </c>
      <c r="F457" s="4" t="s">
        <v>23</v>
      </c>
      <c r="G457" s="4" t="s">
        <v>24</v>
      </c>
      <c r="H457" s="4" t="s">
        <v>25</v>
      </c>
      <c r="I457" s="4" t="s">
        <v>1396</v>
      </c>
      <c r="J457" s="4" t="s">
        <v>1388</v>
      </c>
      <c r="K457" s="5">
        <v>44549</v>
      </c>
      <c r="L457" s="5">
        <v>44675</v>
      </c>
      <c r="M457" s="5">
        <v>44687</v>
      </c>
      <c r="N457" s="6">
        <f t="shared" si="31"/>
        <v>12</v>
      </c>
      <c r="O457" s="4" t="s">
        <v>28</v>
      </c>
      <c r="P457" s="4">
        <v>4833.17</v>
      </c>
      <c r="Q457" s="4"/>
      <c r="R457" s="4" t="str">
        <f t="shared" si="32"/>
        <v>2022</v>
      </c>
      <c r="S457" s="4" t="str">
        <f t="shared" si="33"/>
        <v>April</v>
      </c>
      <c r="T457" s="4">
        <f t="shared" si="34"/>
        <v>4833.17</v>
      </c>
      <c r="U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row>
    <row r="458" spans="1:53" ht="19.95" customHeight="1">
      <c r="A458" s="4">
        <v>457</v>
      </c>
      <c r="B458" s="4" t="s">
        <v>1397</v>
      </c>
      <c r="C458" s="4" t="s">
        <v>20</v>
      </c>
      <c r="D458" s="4" t="s">
        <v>38</v>
      </c>
      <c r="E458" s="4" t="s">
        <v>39</v>
      </c>
      <c r="F458" s="4" t="s">
        <v>722</v>
      </c>
      <c r="G458" s="4" t="s">
        <v>24</v>
      </c>
      <c r="H458" s="4" t="s">
        <v>49</v>
      </c>
      <c r="I458" s="4" t="s">
        <v>1398</v>
      </c>
      <c r="J458" s="4" t="s">
        <v>1399</v>
      </c>
      <c r="K458" s="5">
        <v>44545</v>
      </c>
      <c r="L458" s="5">
        <v>44546</v>
      </c>
      <c r="M458" s="5">
        <v>44551</v>
      </c>
      <c r="N458" s="6">
        <f t="shared" si="31"/>
        <v>5</v>
      </c>
      <c r="O458" s="4" t="s">
        <v>28</v>
      </c>
      <c r="P458" s="4">
        <v>3049.42</v>
      </c>
      <c r="Q458" s="4"/>
      <c r="R458" s="4" t="str">
        <f t="shared" si="32"/>
        <v>2021</v>
      </c>
      <c r="S458" s="4" t="str">
        <f t="shared" si="33"/>
        <v>December</v>
      </c>
      <c r="T458" s="4">
        <f t="shared" si="34"/>
        <v>3049.42</v>
      </c>
      <c r="U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row>
    <row r="459" spans="1:53" ht="19.95" customHeight="1">
      <c r="A459" s="4">
        <v>458</v>
      </c>
      <c r="B459" s="4" t="s">
        <v>1400</v>
      </c>
      <c r="C459" s="4" t="s">
        <v>20</v>
      </c>
      <c r="D459" s="4" t="s">
        <v>21</v>
      </c>
      <c r="E459" s="4" t="s">
        <v>39</v>
      </c>
      <c r="F459" s="4" t="s">
        <v>23</v>
      </c>
      <c r="G459" s="4" t="s">
        <v>24</v>
      </c>
      <c r="H459" s="4" t="s">
        <v>25</v>
      </c>
      <c r="I459" s="4" t="s">
        <v>1401</v>
      </c>
      <c r="J459" s="4" t="s">
        <v>1402</v>
      </c>
      <c r="K459" s="5">
        <v>44543</v>
      </c>
      <c r="L459" s="5">
        <v>44554</v>
      </c>
      <c r="M459" s="5">
        <v>44567</v>
      </c>
      <c r="N459" s="6">
        <f t="shared" si="31"/>
        <v>13</v>
      </c>
      <c r="O459" s="4" t="s">
        <v>28</v>
      </c>
      <c r="P459" s="4">
        <v>1231.3399999999999</v>
      </c>
      <c r="Q459" s="4"/>
      <c r="R459" s="4" t="str">
        <f t="shared" si="32"/>
        <v>2021</v>
      </c>
      <c r="S459" s="4" t="str">
        <f t="shared" si="33"/>
        <v>December</v>
      </c>
      <c r="T459" s="4">
        <f t="shared" si="34"/>
        <v>1231.3399999999999</v>
      </c>
      <c r="U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row>
    <row r="460" spans="1:53" ht="19.95" customHeight="1">
      <c r="A460" s="4">
        <v>459</v>
      </c>
      <c r="B460" s="4" t="s">
        <v>1403</v>
      </c>
      <c r="C460" s="4" t="s">
        <v>65</v>
      </c>
      <c r="D460" s="4" t="s">
        <v>56</v>
      </c>
      <c r="E460" s="4" t="s">
        <v>455</v>
      </c>
      <c r="F460" s="4" t="s">
        <v>23</v>
      </c>
      <c r="G460" s="4" t="s">
        <v>24</v>
      </c>
      <c r="H460" s="4" t="s">
        <v>25</v>
      </c>
      <c r="I460" s="4" t="s">
        <v>1404</v>
      </c>
      <c r="J460" s="4" t="s">
        <v>1405</v>
      </c>
      <c r="K460" s="5">
        <v>44541</v>
      </c>
      <c r="L460" s="5">
        <v>44600</v>
      </c>
      <c r="M460" s="5">
        <v>44617</v>
      </c>
      <c r="N460" s="6">
        <f t="shared" si="31"/>
        <v>17</v>
      </c>
      <c r="O460" s="4" t="s">
        <v>28</v>
      </c>
      <c r="P460" s="4">
        <v>12959.94</v>
      </c>
      <c r="Q460" s="4"/>
      <c r="R460" s="4" t="str">
        <f t="shared" si="32"/>
        <v>2022</v>
      </c>
      <c r="S460" s="4" t="str">
        <f t="shared" si="33"/>
        <v>February</v>
      </c>
      <c r="T460" s="4">
        <f t="shared" si="34"/>
        <v>12959.94</v>
      </c>
      <c r="U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row>
    <row r="461" spans="1:53" ht="19.95" customHeight="1">
      <c r="A461" s="4">
        <v>460</v>
      </c>
      <c r="B461" s="4" t="s">
        <v>1406</v>
      </c>
      <c r="C461" s="4" t="s">
        <v>20</v>
      </c>
      <c r="D461" s="4" t="s">
        <v>56</v>
      </c>
      <c r="E461" s="4" t="s">
        <v>39</v>
      </c>
      <c r="F461" s="4" t="s">
        <v>23</v>
      </c>
      <c r="G461" s="4" t="s">
        <v>24</v>
      </c>
      <c r="H461" s="4" t="s">
        <v>25</v>
      </c>
      <c r="I461" s="4" t="s">
        <v>1407</v>
      </c>
      <c r="J461" s="4" t="s">
        <v>1408</v>
      </c>
      <c r="K461" s="5">
        <v>44532</v>
      </c>
      <c r="L461" s="5">
        <v>44580</v>
      </c>
      <c r="M461" s="5">
        <v>44595</v>
      </c>
      <c r="N461" s="6">
        <f t="shared" si="31"/>
        <v>15</v>
      </c>
      <c r="O461" s="4" t="s">
        <v>28</v>
      </c>
      <c r="P461" s="4">
        <v>9378.9599999999991</v>
      </c>
      <c r="Q461" s="4"/>
      <c r="R461" s="4" t="str">
        <f t="shared" si="32"/>
        <v>2022</v>
      </c>
      <c r="S461" s="4" t="str">
        <f t="shared" si="33"/>
        <v>January</v>
      </c>
      <c r="T461" s="4">
        <f t="shared" si="34"/>
        <v>9378.9599999999991</v>
      </c>
      <c r="U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row>
    <row r="462" spans="1:53" ht="19.95" customHeight="1">
      <c r="A462" s="4">
        <v>461</v>
      </c>
      <c r="B462" s="4" t="s">
        <v>1409</v>
      </c>
      <c r="C462" s="4" t="s">
        <v>20</v>
      </c>
      <c r="D462" s="4" t="s">
        <v>21</v>
      </c>
      <c r="E462" s="4" t="s">
        <v>455</v>
      </c>
      <c r="F462" s="4" t="s">
        <v>23</v>
      </c>
      <c r="G462" s="4" t="s">
        <v>24</v>
      </c>
      <c r="H462" s="4" t="s">
        <v>25</v>
      </c>
      <c r="I462" s="4" t="s">
        <v>1410</v>
      </c>
      <c r="J462" s="4" t="s">
        <v>1411</v>
      </c>
      <c r="K462" s="5">
        <v>44531</v>
      </c>
      <c r="L462" s="5">
        <v>44559</v>
      </c>
      <c r="M462" s="5">
        <v>44578</v>
      </c>
      <c r="N462" s="6">
        <f t="shared" si="31"/>
        <v>19</v>
      </c>
      <c r="O462" s="4" t="s">
        <v>28</v>
      </c>
      <c r="P462" s="4">
        <v>2744.78</v>
      </c>
      <c r="Q462" s="4"/>
      <c r="R462" s="4" t="str">
        <f t="shared" si="32"/>
        <v>2021</v>
      </c>
      <c r="S462" s="4" t="str">
        <f t="shared" si="33"/>
        <v>December</v>
      </c>
      <c r="T462" s="4">
        <f t="shared" si="34"/>
        <v>2744.78</v>
      </c>
      <c r="U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row>
    <row r="463" spans="1:53" ht="19.95" customHeight="1">
      <c r="A463" s="4">
        <v>462</v>
      </c>
      <c r="B463" s="4" t="s">
        <v>1412</v>
      </c>
      <c r="C463" s="4" t="s">
        <v>20</v>
      </c>
      <c r="D463" s="4" t="s">
        <v>21</v>
      </c>
      <c r="E463" s="4" t="s">
        <v>455</v>
      </c>
      <c r="F463" s="4" t="s">
        <v>23</v>
      </c>
      <c r="G463" s="4" t="s">
        <v>24</v>
      </c>
      <c r="H463" s="4" t="s">
        <v>25</v>
      </c>
      <c r="I463" s="4" t="s">
        <v>1413</v>
      </c>
      <c r="J463" s="4"/>
      <c r="K463" s="5">
        <v>44525</v>
      </c>
      <c r="L463" s="5">
        <v>44556</v>
      </c>
      <c r="M463" s="5">
        <v>44569</v>
      </c>
      <c r="N463" s="6">
        <f t="shared" si="31"/>
        <v>13</v>
      </c>
      <c r="O463" s="4" t="s">
        <v>28</v>
      </c>
      <c r="P463" s="4">
        <v>12114.46</v>
      </c>
      <c r="Q463" s="4"/>
      <c r="R463" s="4" t="str">
        <f t="shared" si="32"/>
        <v>2021</v>
      </c>
      <c r="S463" s="4" t="str">
        <f t="shared" si="33"/>
        <v>December</v>
      </c>
      <c r="T463" s="4">
        <f t="shared" si="34"/>
        <v>12114.46</v>
      </c>
      <c r="U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row>
    <row r="464" spans="1:53" ht="19.95" customHeight="1">
      <c r="A464" s="4">
        <v>463</v>
      </c>
      <c r="B464" s="4" t="s">
        <v>1414</v>
      </c>
      <c r="C464" s="4" t="s">
        <v>65</v>
      </c>
      <c r="D464" s="4" t="s">
        <v>56</v>
      </c>
      <c r="E464" s="4" t="s">
        <v>455</v>
      </c>
      <c r="F464" s="4" t="s">
        <v>285</v>
      </c>
      <c r="G464" s="4" t="s">
        <v>24</v>
      </c>
      <c r="H464" s="4" t="s">
        <v>286</v>
      </c>
      <c r="I464" s="4" t="s">
        <v>1415</v>
      </c>
      <c r="J464" s="4" t="s">
        <v>1416</v>
      </c>
      <c r="K464" s="5">
        <v>44525</v>
      </c>
      <c r="L464" s="5">
        <v>44564</v>
      </c>
      <c r="M464" s="5">
        <v>44614</v>
      </c>
      <c r="N464" s="6">
        <f t="shared" si="31"/>
        <v>50</v>
      </c>
      <c r="O464" s="4" t="s">
        <v>28</v>
      </c>
      <c r="P464" s="4">
        <v>25990.02</v>
      </c>
      <c r="Q464" s="4"/>
      <c r="R464" s="4" t="str">
        <f t="shared" si="32"/>
        <v>2022</v>
      </c>
      <c r="S464" s="4" t="str">
        <f t="shared" si="33"/>
        <v>January</v>
      </c>
      <c r="T464" s="4">
        <f t="shared" si="34"/>
        <v>25990.02</v>
      </c>
      <c r="U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row>
    <row r="465" spans="1:53" ht="19.95" customHeight="1">
      <c r="A465" s="4">
        <v>464</v>
      </c>
      <c r="B465" s="4" t="s">
        <v>1417</v>
      </c>
      <c r="C465" s="4" t="s">
        <v>20</v>
      </c>
      <c r="D465" s="4" t="s">
        <v>21</v>
      </c>
      <c r="E465" s="4" t="s">
        <v>455</v>
      </c>
      <c r="F465" s="4" t="s">
        <v>23</v>
      </c>
      <c r="G465" s="4" t="s">
        <v>24</v>
      </c>
      <c r="H465" s="4" t="s">
        <v>25</v>
      </c>
      <c r="I465" s="4" t="s">
        <v>1418</v>
      </c>
      <c r="J465" s="4" t="s">
        <v>1419</v>
      </c>
      <c r="K465" s="5">
        <v>44523</v>
      </c>
      <c r="L465" s="5">
        <v>44606</v>
      </c>
      <c r="M465" s="5">
        <v>44613</v>
      </c>
      <c r="N465" s="6">
        <f t="shared" si="31"/>
        <v>7</v>
      </c>
      <c r="O465" s="4" t="s">
        <v>28</v>
      </c>
      <c r="P465" s="4">
        <v>4061.97</v>
      </c>
      <c r="Q465" s="4"/>
      <c r="R465" s="4" t="str">
        <f t="shared" si="32"/>
        <v>2022</v>
      </c>
      <c r="S465" s="4" t="str">
        <f t="shared" si="33"/>
        <v>February</v>
      </c>
      <c r="T465" s="4">
        <f t="shared" si="34"/>
        <v>4061.97</v>
      </c>
      <c r="U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row>
    <row r="466" spans="1:53" ht="19.95" customHeight="1">
      <c r="A466" s="4">
        <v>465</v>
      </c>
      <c r="B466" s="4" t="s">
        <v>1420</v>
      </c>
      <c r="C466" s="4" t="s">
        <v>65</v>
      </c>
      <c r="D466" s="4" t="s">
        <v>56</v>
      </c>
      <c r="E466" s="4" t="s">
        <v>455</v>
      </c>
      <c r="F466" s="4" t="s">
        <v>223</v>
      </c>
      <c r="G466" s="4" t="s">
        <v>24</v>
      </c>
      <c r="H466" s="4" t="s">
        <v>224</v>
      </c>
      <c r="I466" s="4" t="s">
        <v>1421</v>
      </c>
      <c r="J466" s="4" t="s">
        <v>1422</v>
      </c>
      <c r="K466" s="5">
        <v>44523</v>
      </c>
      <c r="L466" s="5">
        <v>44547</v>
      </c>
      <c r="M466" s="5">
        <v>44560</v>
      </c>
      <c r="N466" s="6">
        <f t="shared" si="31"/>
        <v>13</v>
      </c>
      <c r="O466" s="4" t="s">
        <v>28</v>
      </c>
      <c r="P466" s="4">
        <v>2545.8000000000002</v>
      </c>
      <c r="Q466" s="4"/>
      <c r="R466" s="4" t="str">
        <f t="shared" si="32"/>
        <v>2021</v>
      </c>
      <c r="S466" s="4" t="str">
        <f t="shared" si="33"/>
        <v>December</v>
      </c>
      <c r="T466" s="4">
        <f t="shared" si="34"/>
        <v>2545.8000000000002</v>
      </c>
      <c r="U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row>
    <row r="467" spans="1:53" ht="19.95" customHeight="1">
      <c r="A467" s="4">
        <v>466</v>
      </c>
      <c r="B467" s="4" t="s">
        <v>1423</v>
      </c>
      <c r="C467" s="4" t="s">
        <v>20</v>
      </c>
      <c r="D467" s="4" t="s">
        <v>21</v>
      </c>
      <c r="E467" s="4" t="s">
        <v>39</v>
      </c>
      <c r="F467" s="4" t="s">
        <v>23</v>
      </c>
      <c r="G467" s="4" t="s">
        <v>24</v>
      </c>
      <c r="H467" s="4" t="s">
        <v>1424</v>
      </c>
      <c r="I467" s="4" t="s">
        <v>1425</v>
      </c>
      <c r="J467" s="4" t="s">
        <v>1426</v>
      </c>
      <c r="K467" s="5">
        <v>44522</v>
      </c>
      <c r="L467" s="5">
        <v>44543</v>
      </c>
      <c r="M467" s="5">
        <v>44552</v>
      </c>
      <c r="N467" s="6">
        <f t="shared" si="31"/>
        <v>9</v>
      </c>
      <c r="O467" s="4" t="s">
        <v>28</v>
      </c>
      <c r="P467" s="4">
        <v>1859.2</v>
      </c>
      <c r="Q467" s="4"/>
      <c r="R467" s="4" t="str">
        <f t="shared" si="32"/>
        <v>2021</v>
      </c>
      <c r="S467" s="4" t="str">
        <f t="shared" si="33"/>
        <v>December</v>
      </c>
      <c r="T467" s="4">
        <f t="shared" si="34"/>
        <v>1859.2</v>
      </c>
      <c r="U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row>
    <row r="468" spans="1:53" ht="19.95" customHeight="1">
      <c r="A468" s="4">
        <v>467</v>
      </c>
      <c r="B468" s="4" t="s">
        <v>1427</v>
      </c>
      <c r="C468" s="4" t="s">
        <v>20</v>
      </c>
      <c r="D468" s="4" t="s">
        <v>21</v>
      </c>
      <c r="E468" s="4" t="s">
        <v>39</v>
      </c>
      <c r="F468" s="4" t="s">
        <v>23</v>
      </c>
      <c r="G468" s="4" t="s">
        <v>24</v>
      </c>
      <c r="H468" s="4" t="s">
        <v>25</v>
      </c>
      <c r="I468" s="4" t="s">
        <v>1428</v>
      </c>
      <c r="J468" s="4" t="s">
        <v>1429</v>
      </c>
      <c r="K468" s="5">
        <v>44519</v>
      </c>
      <c r="L468" s="5">
        <v>44532</v>
      </c>
      <c r="M468" s="5">
        <v>44550</v>
      </c>
      <c r="N468" s="6">
        <f t="shared" si="31"/>
        <v>18</v>
      </c>
      <c r="O468" s="4" t="s">
        <v>28</v>
      </c>
      <c r="P468" s="4">
        <v>8795.8700000000008</v>
      </c>
      <c r="Q468" s="4"/>
      <c r="R468" s="4" t="str">
        <f t="shared" si="32"/>
        <v>2021</v>
      </c>
      <c r="S468" s="4" t="str">
        <f t="shared" si="33"/>
        <v>December</v>
      </c>
      <c r="T468" s="4">
        <f t="shared" si="34"/>
        <v>8795.8700000000008</v>
      </c>
      <c r="U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row>
    <row r="469" spans="1:53" ht="19.95" customHeight="1">
      <c r="A469" s="4">
        <v>468</v>
      </c>
      <c r="B469" s="4" t="s">
        <v>1430</v>
      </c>
      <c r="C469" s="4" t="s">
        <v>20</v>
      </c>
      <c r="D469" s="4" t="s">
        <v>21</v>
      </c>
      <c r="E469" s="4" t="s">
        <v>39</v>
      </c>
      <c r="F469" s="4" t="s">
        <v>23</v>
      </c>
      <c r="G469" s="4" t="s">
        <v>24</v>
      </c>
      <c r="H469" s="4" t="s">
        <v>44</v>
      </c>
      <c r="I469" s="4" t="s">
        <v>1431</v>
      </c>
      <c r="J469" s="4" t="s">
        <v>1432</v>
      </c>
      <c r="K469" s="5">
        <v>44516</v>
      </c>
      <c r="L469" s="5">
        <v>44549</v>
      </c>
      <c r="M469" s="5">
        <v>44563</v>
      </c>
      <c r="N469" s="6">
        <f t="shared" si="31"/>
        <v>14</v>
      </c>
      <c r="O469" s="4" t="s">
        <v>28</v>
      </c>
      <c r="P469" s="4">
        <v>5861.07</v>
      </c>
      <c r="Q469" s="4"/>
      <c r="R469" s="4" t="str">
        <f t="shared" si="32"/>
        <v>2021</v>
      </c>
      <c r="S469" s="4" t="str">
        <f t="shared" si="33"/>
        <v>December</v>
      </c>
      <c r="T469" s="4">
        <f t="shared" si="34"/>
        <v>5861.07</v>
      </c>
      <c r="U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row>
    <row r="470" spans="1:53" ht="19.95" customHeight="1">
      <c r="A470" s="4">
        <v>469</v>
      </c>
      <c r="B470" s="4" t="s">
        <v>1433</v>
      </c>
      <c r="C470" s="4" t="s">
        <v>65</v>
      </c>
      <c r="D470" s="4" t="s">
        <v>56</v>
      </c>
      <c r="E470" s="4" t="s">
        <v>1434</v>
      </c>
      <c r="F470" s="4" t="s">
        <v>24</v>
      </c>
      <c r="G470" s="4" t="s">
        <v>24</v>
      </c>
      <c r="H470" s="4" t="s">
        <v>200</v>
      </c>
      <c r="I470" s="4" t="s">
        <v>1435</v>
      </c>
      <c r="J470" s="4" t="s">
        <v>1436</v>
      </c>
      <c r="K470" s="5">
        <v>44515</v>
      </c>
      <c r="L470" s="5">
        <v>44551</v>
      </c>
      <c r="M470" s="5">
        <v>44553</v>
      </c>
      <c r="N470" s="6">
        <f t="shared" si="31"/>
        <v>2</v>
      </c>
      <c r="O470" s="4" t="s">
        <v>762</v>
      </c>
      <c r="P470" s="4">
        <v>83300</v>
      </c>
      <c r="Q470" s="4"/>
      <c r="R470" s="4" t="str">
        <f t="shared" si="32"/>
        <v>2021</v>
      </c>
      <c r="S470" s="4" t="str">
        <f t="shared" si="33"/>
        <v>December</v>
      </c>
      <c r="T470" s="4">
        <f t="shared" si="34"/>
        <v>83300</v>
      </c>
      <c r="U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row>
    <row r="471" spans="1:53" ht="19.95" customHeight="1">
      <c r="A471" s="4">
        <v>470</v>
      </c>
      <c r="B471" s="4" t="s">
        <v>1437</v>
      </c>
      <c r="C471" s="4" t="s">
        <v>20</v>
      </c>
      <c r="D471" s="4" t="s">
        <v>38</v>
      </c>
      <c r="E471" s="4" t="s">
        <v>39</v>
      </c>
      <c r="F471" s="4" t="s">
        <v>722</v>
      </c>
      <c r="G471" s="4" t="s">
        <v>24</v>
      </c>
      <c r="H471" s="4" t="s">
        <v>49</v>
      </c>
      <c r="I471" s="4" t="s">
        <v>1438</v>
      </c>
      <c r="J471" s="4" t="s">
        <v>1399</v>
      </c>
      <c r="K471" s="5">
        <v>44513</v>
      </c>
      <c r="L471" s="5">
        <v>44531</v>
      </c>
      <c r="M471" s="5">
        <v>44535</v>
      </c>
      <c r="N471" s="6">
        <f t="shared" si="31"/>
        <v>4</v>
      </c>
      <c r="O471" s="4" t="s">
        <v>28</v>
      </c>
      <c r="P471" s="4">
        <v>5460.58</v>
      </c>
      <c r="Q471" s="4"/>
      <c r="R471" s="4" t="str">
        <f t="shared" si="32"/>
        <v>2021</v>
      </c>
      <c r="S471" s="4" t="str">
        <f t="shared" si="33"/>
        <v>December</v>
      </c>
      <c r="T471" s="4">
        <f t="shared" si="34"/>
        <v>5460.58</v>
      </c>
      <c r="U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row>
    <row r="472" spans="1:53" ht="19.95" customHeight="1">
      <c r="A472" s="4">
        <v>471</v>
      </c>
      <c r="B472" s="4" t="s">
        <v>1439</v>
      </c>
      <c r="C472" s="4" t="s">
        <v>20</v>
      </c>
      <c r="D472" s="4" t="s">
        <v>21</v>
      </c>
      <c r="E472" s="4" t="s">
        <v>39</v>
      </c>
      <c r="F472" s="4" t="s">
        <v>23</v>
      </c>
      <c r="G472" s="4" t="s">
        <v>24</v>
      </c>
      <c r="H472" s="4" t="s">
        <v>25</v>
      </c>
      <c r="I472" s="4" t="s">
        <v>1440</v>
      </c>
      <c r="J472" s="4" t="s">
        <v>1441</v>
      </c>
      <c r="K472" s="5">
        <v>44512</v>
      </c>
      <c r="L472" s="5">
        <v>44583</v>
      </c>
      <c r="M472" s="5">
        <v>44598</v>
      </c>
      <c r="N472" s="6">
        <f t="shared" si="31"/>
        <v>15</v>
      </c>
      <c r="O472" s="4" t="s">
        <v>28</v>
      </c>
      <c r="P472" s="4">
        <v>3539.18</v>
      </c>
      <c r="Q472" s="4"/>
      <c r="R472" s="4" t="str">
        <f t="shared" si="32"/>
        <v>2022</v>
      </c>
      <c r="S472" s="4" t="str">
        <f t="shared" si="33"/>
        <v>January</v>
      </c>
      <c r="T472" s="4">
        <f t="shared" si="34"/>
        <v>3539.18</v>
      </c>
      <c r="U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row>
    <row r="473" spans="1:53" ht="19.95" customHeight="1">
      <c r="A473" s="4">
        <v>472</v>
      </c>
      <c r="B473" s="4" t="s">
        <v>1442</v>
      </c>
      <c r="C473" s="4" t="s">
        <v>20</v>
      </c>
      <c r="D473" s="4" t="s">
        <v>21</v>
      </c>
      <c r="E473" s="4" t="s">
        <v>455</v>
      </c>
      <c r="F473" s="4" t="s">
        <v>23</v>
      </c>
      <c r="G473" s="4" t="s">
        <v>24</v>
      </c>
      <c r="H473" s="4" t="s">
        <v>25</v>
      </c>
      <c r="I473" s="4" t="s">
        <v>1443</v>
      </c>
      <c r="J473" s="4" t="s">
        <v>1444</v>
      </c>
      <c r="K473" s="5">
        <v>44512</v>
      </c>
      <c r="L473" s="5">
        <v>44636</v>
      </c>
      <c r="M473" s="5">
        <v>44650</v>
      </c>
      <c r="N473" s="6">
        <f t="shared" si="31"/>
        <v>14</v>
      </c>
      <c r="O473" s="4" t="s">
        <v>28</v>
      </c>
      <c r="P473" s="4">
        <v>5013.5200000000004</v>
      </c>
      <c r="Q473" s="4"/>
      <c r="R473" s="4" t="str">
        <f t="shared" si="32"/>
        <v>2022</v>
      </c>
      <c r="S473" s="4" t="str">
        <f t="shared" si="33"/>
        <v>March</v>
      </c>
      <c r="T473" s="4">
        <f t="shared" si="34"/>
        <v>5013.5200000000004</v>
      </c>
      <c r="U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row>
    <row r="474" spans="1:53" ht="19.95" customHeight="1">
      <c r="A474" s="4">
        <v>473</v>
      </c>
      <c r="B474" s="4" t="s">
        <v>1445</v>
      </c>
      <c r="C474" s="4" t="s">
        <v>65</v>
      </c>
      <c r="D474" s="4" t="s">
        <v>56</v>
      </c>
      <c r="E474" s="4" t="s">
        <v>455</v>
      </c>
      <c r="F474" s="4" t="s">
        <v>23</v>
      </c>
      <c r="G474" s="4" t="s">
        <v>24</v>
      </c>
      <c r="H474" s="4" t="s">
        <v>25</v>
      </c>
      <c r="I474" s="4" t="s">
        <v>1446</v>
      </c>
      <c r="J474" s="4"/>
      <c r="K474" s="5">
        <v>44512</v>
      </c>
      <c r="L474" s="5">
        <v>44550</v>
      </c>
      <c r="M474" s="5">
        <v>44563</v>
      </c>
      <c r="N474" s="6">
        <f t="shared" si="31"/>
        <v>13</v>
      </c>
      <c r="O474" s="4" t="s">
        <v>28</v>
      </c>
      <c r="P474" s="4">
        <v>5383.79</v>
      </c>
      <c r="Q474" s="4"/>
      <c r="R474" s="4" t="str">
        <f t="shared" si="32"/>
        <v>2021</v>
      </c>
      <c r="S474" s="4" t="str">
        <f t="shared" si="33"/>
        <v>December</v>
      </c>
      <c r="T474" s="4">
        <f t="shared" si="34"/>
        <v>5383.79</v>
      </c>
      <c r="U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row>
    <row r="475" spans="1:53" ht="19.95" customHeight="1">
      <c r="A475" s="4">
        <v>474</v>
      </c>
      <c r="B475" s="4" t="s">
        <v>1447</v>
      </c>
      <c r="C475" s="4" t="s">
        <v>20</v>
      </c>
      <c r="D475" s="4" t="s">
        <v>21</v>
      </c>
      <c r="E475" s="4" t="s">
        <v>455</v>
      </c>
      <c r="F475" s="4" t="s">
        <v>23</v>
      </c>
      <c r="G475" s="4" t="s">
        <v>24</v>
      </c>
      <c r="H475" s="4" t="s">
        <v>25</v>
      </c>
      <c r="I475" s="4" t="s">
        <v>1448</v>
      </c>
      <c r="J475" s="4" t="s">
        <v>1449</v>
      </c>
      <c r="K475" s="5">
        <v>44511</v>
      </c>
      <c r="L475" s="5">
        <v>44750</v>
      </c>
      <c r="M475" s="5">
        <v>45139</v>
      </c>
      <c r="N475" s="6"/>
      <c r="O475" s="4" t="s">
        <v>28</v>
      </c>
      <c r="P475" s="4"/>
      <c r="Q475" s="4"/>
      <c r="R475" s="4" t="str">
        <f t="shared" si="32"/>
        <v>2022</v>
      </c>
      <c r="S475" s="4" t="str">
        <f t="shared" si="33"/>
        <v>July</v>
      </c>
      <c r="T475" s="4">
        <f t="shared" si="34"/>
        <v>0</v>
      </c>
      <c r="U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row>
    <row r="476" spans="1:53" ht="19.95" customHeight="1">
      <c r="A476" s="4">
        <v>475</v>
      </c>
      <c r="B476" s="4" t="s">
        <v>1450</v>
      </c>
      <c r="C476" s="4" t="s">
        <v>20</v>
      </c>
      <c r="D476" s="4" t="s">
        <v>21</v>
      </c>
      <c r="E476" s="4" t="s">
        <v>39</v>
      </c>
      <c r="F476" s="4" t="s">
        <v>116</v>
      </c>
      <c r="G476" s="4" t="s">
        <v>24</v>
      </c>
      <c r="H476" s="4" t="s">
        <v>117</v>
      </c>
      <c r="I476" s="4" t="s">
        <v>1451</v>
      </c>
      <c r="J476" s="4" t="s">
        <v>1452</v>
      </c>
      <c r="K476" s="5">
        <v>44510</v>
      </c>
      <c r="L476" s="5">
        <v>44599</v>
      </c>
      <c r="M476" s="5">
        <v>44611</v>
      </c>
      <c r="N476" s="6">
        <f t="shared" ref="N476:N539" si="35">M476-L476</f>
        <v>12</v>
      </c>
      <c r="O476" s="4" t="s">
        <v>28</v>
      </c>
      <c r="P476" s="4">
        <v>1361.98</v>
      </c>
      <c r="Q476" s="4"/>
      <c r="R476" s="4" t="str">
        <f t="shared" si="32"/>
        <v>2022</v>
      </c>
      <c r="S476" s="4" t="str">
        <f t="shared" si="33"/>
        <v>February</v>
      </c>
      <c r="T476" s="4">
        <f t="shared" si="34"/>
        <v>1361.98</v>
      </c>
      <c r="U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row>
    <row r="477" spans="1:53" ht="19.95" customHeight="1">
      <c r="A477" s="4">
        <v>476</v>
      </c>
      <c r="B477" s="4" t="s">
        <v>1453</v>
      </c>
      <c r="C477" s="4" t="s">
        <v>20</v>
      </c>
      <c r="D477" s="4" t="s">
        <v>21</v>
      </c>
      <c r="E477" s="4" t="s">
        <v>39</v>
      </c>
      <c r="F477" s="4" t="s">
        <v>23</v>
      </c>
      <c r="G477" s="4" t="s">
        <v>24</v>
      </c>
      <c r="H477" s="4" t="s">
        <v>25</v>
      </c>
      <c r="I477" s="4" t="s">
        <v>1454</v>
      </c>
      <c r="J477" s="4" t="s">
        <v>1455</v>
      </c>
      <c r="K477" s="5">
        <v>44508</v>
      </c>
      <c r="L477" s="5">
        <v>44743</v>
      </c>
      <c r="M477" s="5">
        <v>45130</v>
      </c>
      <c r="N477" s="6">
        <f t="shared" si="35"/>
        <v>387</v>
      </c>
      <c r="O477" s="4" t="s">
        <v>28</v>
      </c>
      <c r="P477" s="4">
        <v>27534.11</v>
      </c>
      <c r="Q477" s="4"/>
      <c r="R477" s="4" t="str">
        <f t="shared" si="32"/>
        <v>2022</v>
      </c>
      <c r="S477" s="4" t="str">
        <f t="shared" si="33"/>
        <v>July</v>
      </c>
      <c r="T477" s="4">
        <f t="shared" si="34"/>
        <v>27534.11</v>
      </c>
      <c r="U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row>
    <row r="478" spans="1:53" ht="19.95" customHeight="1">
      <c r="A478" s="4">
        <v>477</v>
      </c>
      <c r="B478" s="4" t="s">
        <v>1456</v>
      </c>
      <c r="C478" s="4" t="s">
        <v>20</v>
      </c>
      <c r="D478" s="4" t="s">
        <v>21</v>
      </c>
      <c r="E478" s="4" t="s">
        <v>455</v>
      </c>
      <c r="F478" s="4" t="s">
        <v>23</v>
      </c>
      <c r="G478" s="4" t="s">
        <v>24</v>
      </c>
      <c r="H478" s="4" t="s">
        <v>25</v>
      </c>
      <c r="I478" s="4" t="s">
        <v>1457</v>
      </c>
      <c r="J478" s="4" t="s">
        <v>351</v>
      </c>
      <c r="K478" s="5">
        <v>44505</v>
      </c>
      <c r="L478" s="5">
        <v>44599</v>
      </c>
      <c r="M478" s="5">
        <v>44612</v>
      </c>
      <c r="N478" s="6">
        <f t="shared" si="35"/>
        <v>13</v>
      </c>
      <c r="O478" s="4" t="s">
        <v>28</v>
      </c>
      <c r="P478" s="4">
        <v>2601</v>
      </c>
      <c r="Q478" s="4"/>
      <c r="R478" s="4" t="str">
        <f t="shared" si="32"/>
        <v>2022</v>
      </c>
      <c r="S478" s="4" t="str">
        <f t="shared" si="33"/>
        <v>February</v>
      </c>
      <c r="T478" s="4">
        <f t="shared" si="34"/>
        <v>2601</v>
      </c>
      <c r="U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row>
    <row r="479" spans="1:53" ht="19.95" customHeight="1">
      <c r="A479" s="4">
        <v>478</v>
      </c>
      <c r="B479" s="4" t="s">
        <v>1458</v>
      </c>
      <c r="C479" s="4" t="s">
        <v>20</v>
      </c>
      <c r="D479" s="4" t="s">
        <v>21</v>
      </c>
      <c r="E479" s="4" t="s">
        <v>455</v>
      </c>
      <c r="F479" s="4" t="s">
        <v>223</v>
      </c>
      <c r="G479" s="4" t="s">
        <v>24</v>
      </c>
      <c r="H479" s="4" t="s">
        <v>224</v>
      </c>
      <c r="I479" s="4" t="s">
        <v>1459</v>
      </c>
      <c r="J479" s="4" t="s">
        <v>1460</v>
      </c>
      <c r="K479" s="5">
        <v>44504</v>
      </c>
      <c r="L479" s="5">
        <v>44508</v>
      </c>
      <c r="M479" s="5">
        <v>44508</v>
      </c>
      <c r="N479" s="6">
        <f t="shared" si="35"/>
        <v>0</v>
      </c>
      <c r="O479" s="4" t="s">
        <v>28</v>
      </c>
      <c r="P479" s="4">
        <v>785</v>
      </c>
      <c r="Q479" s="4"/>
      <c r="R479" s="4" t="str">
        <f t="shared" si="32"/>
        <v>2021</v>
      </c>
      <c r="S479" s="4" t="str">
        <f t="shared" si="33"/>
        <v>November</v>
      </c>
      <c r="T479" s="4">
        <f t="shared" si="34"/>
        <v>785</v>
      </c>
      <c r="U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row>
    <row r="480" spans="1:53" ht="19.95" customHeight="1">
      <c r="A480" s="4">
        <v>479</v>
      </c>
      <c r="B480" s="4" t="s">
        <v>1461</v>
      </c>
      <c r="C480" s="4" t="s">
        <v>20</v>
      </c>
      <c r="D480" s="4" t="s">
        <v>356</v>
      </c>
      <c r="E480" s="4" t="s">
        <v>39</v>
      </c>
      <c r="F480" s="4" t="s">
        <v>23</v>
      </c>
      <c r="G480" s="4" t="s">
        <v>24</v>
      </c>
      <c r="H480" s="4" t="s">
        <v>25</v>
      </c>
      <c r="I480" s="4" t="s">
        <v>1462</v>
      </c>
      <c r="J480" s="4" t="s">
        <v>1463</v>
      </c>
      <c r="K480" s="5">
        <v>44503</v>
      </c>
      <c r="L480" s="5">
        <v>44551</v>
      </c>
      <c r="M480" s="5">
        <v>44568</v>
      </c>
      <c r="N480" s="6">
        <f t="shared" si="35"/>
        <v>17</v>
      </c>
      <c r="O480" s="4" t="s">
        <v>28</v>
      </c>
      <c r="P480" s="4">
        <v>5805</v>
      </c>
      <c r="Q480" s="4"/>
      <c r="R480" s="4" t="str">
        <f t="shared" si="32"/>
        <v>2021</v>
      </c>
      <c r="S480" s="4" t="str">
        <f t="shared" si="33"/>
        <v>December</v>
      </c>
      <c r="T480" s="4">
        <f t="shared" si="34"/>
        <v>5805</v>
      </c>
      <c r="U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row>
    <row r="481" spans="1:53" ht="19.95" customHeight="1">
      <c r="A481" s="4">
        <v>480</v>
      </c>
      <c r="B481" s="4" t="s">
        <v>1464</v>
      </c>
      <c r="C481" s="4" t="s">
        <v>20</v>
      </c>
      <c r="D481" s="4" t="s">
        <v>21</v>
      </c>
      <c r="E481" s="4" t="s">
        <v>455</v>
      </c>
      <c r="F481" s="4" t="s">
        <v>1465</v>
      </c>
      <c r="G481" s="4" t="s">
        <v>24</v>
      </c>
      <c r="H481" s="4" t="s">
        <v>25</v>
      </c>
      <c r="I481" s="4" t="s">
        <v>1466</v>
      </c>
      <c r="J481" s="4" t="s">
        <v>1467</v>
      </c>
      <c r="K481" s="5">
        <v>44495</v>
      </c>
      <c r="L481" s="5">
        <v>44549</v>
      </c>
      <c r="M481" s="5">
        <v>44557</v>
      </c>
      <c r="N481" s="6">
        <f t="shared" si="35"/>
        <v>8</v>
      </c>
      <c r="O481" s="4" t="s">
        <v>28</v>
      </c>
      <c r="P481" s="4">
        <v>1249.27</v>
      </c>
      <c r="Q481" s="4"/>
      <c r="R481" s="4" t="str">
        <f t="shared" si="32"/>
        <v>2021</v>
      </c>
      <c r="S481" s="4" t="str">
        <f t="shared" si="33"/>
        <v>December</v>
      </c>
      <c r="T481" s="4">
        <f t="shared" si="34"/>
        <v>1249.27</v>
      </c>
      <c r="U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row>
    <row r="482" spans="1:53" ht="19.95" customHeight="1">
      <c r="A482" s="4">
        <v>481</v>
      </c>
      <c r="B482" s="4" t="s">
        <v>1468</v>
      </c>
      <c r="C482" s="4" t="s">
        <v>20</v>
      </c>
      <c r="D482" s="4" t="s">
        <v>21</v>
      </c>
      <c r="E482" s="4" t="s">
        <v>1434</v>
      </c>
      <c r="F482" s="4" t="s">
        <v>23</v>
      </c>
      <c r="G482" s="4" t="s">
        <v>24</v>
      </c>
      <c r="H482" s="4" t="s">
        <v>25</v>
      </c>
      <c r="I482" s="4" t="s">
        <v>1469</v>
      </c>
      <c r="J482" s="4" t="s">
        <v>1470</v>
      </c>
      <c r="K482" s="5">
        <v>44494</v>
      </c>
      <c r="L482" s="5">
        <v>44495</v>
      </c>
      <c r="M482" s="5">
        <v>44503</v>
      </c>
      <c r="N482" s="6">
        <f t="shared" si="35"/>
        <v>8</v>
      </c>
      <c r="O482" s="4" t="s">
        <v>28</v>
      </c>
      <c r="P482" s="4">
        <v>3400.5</v>
      </c>
      <c r="Q482" s="4" t="s">
        <v>1471</v>
      </c>
      <c r="R482" s="4" t="str">
        <f t="shared" si="32"/>
        <v>2021</v>
      </c>
      <c r="S482" s="4" t="str">
        <f t="shared" si="33"/>
        <v>October</v>
      </c>
      <c r="T482" s="4">
        <f t="shared" si="34"/>
        <v>3400.5</v>
      </c>
      <c r="U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row>
    <row r="483" spans="1:53" ht="19.95" customHeight="1">
      <c r="A483" s="4">
        <v>482</v>
      </c>
      <c r="B483" s="4" t="s">
        <v>1472</v>
      </c>
      <c r="C483" s="4" t="s">
        <v>65</v>
      </c>
      <c r="D483" s="4" t="s">
        <v>21</v>
      </c>
      <c r="E483" s="4" t="s">
        <v>455</v>
      </c>
      <c r="F483" s="4" t="s">
        <v>23</v>
      </c>
      <c r="G483" s="4" t="s">
        <v>24</v>
      </c>
      <c r="H483" s="4" t="s">
        <v>25</v>
      </c>
      <c r="I483" s="4" t="s">
        <v>1473</v>
      </c>
      <c r="J483" s="4" t="s">
        <v>1474</v>
      </c>
      <c r="K483" s="5">
        <v>44492</v>
      </c>
      <c r="L483" s="5">
        <v>44553</v>
      </c>
      <c r="M483" s="5">
        <v>44562</v>
      </c>
      <c r="N483" s="6">
        <f t="shared" si="35"/>
        <v>9</v>
      </c>
      <c r="O483" s="4" t="s">
        <v>28</v>
      </c>
      <c r="P483" s="4">
        <v>3700.35</v>
      </c>
      <c r="Q483" s="4"/>
      <c r="R483" s="4" t="str">
        <f t="shared" si="32"/>
        <v>2021</v>
      </c>
      <c r="S483" s="4" t="str">
        <f t="shared" si="33"/>
        <v>December</v>
      </c>
      <c r="T483" s="4">
        <f t="shared" si="34"/>
        <v>3700.35</v>
      </c>
      <c r="U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row>
    <row r="484" spans="1:53" ht="19.95" customHeight="1">
      <c r="A484" s="4">
        <v>483</v>
      </c>
      <c r="B484" s="4" t="s">
        <v>1475</v>
      </c>
      <c r="C484" s="4" t="s">
        <v>65</v>
      </c>
      <c r="D484" s="4" t="s">
        <v>21</v>
      </c>
      <c r="E484" s="4" t="s">
        <v>455</v>
      </c>
      <c r="F484" s="4" t="s">
        <v>23</v>
      </c>
      <c r="G484" s="4" t="s">
        <v>24</v>
      </c>
      <c r="H484" s="4" t="s">
        <v>25</v>
      </c>
      <c r="I484" s="4" t="s">
        <v>1476</v>
      </c>
      <c r="J484" s="4"/>
      <c r="K484" s="5">
        <v>44490</v>
      </c>
      <c r="L484" s="5">
        <v>44510</v>
      </c>
      <c r="M484" s="5">
        <v>44521</v>
      </c>
      <c r="N484" s="6">
        <f t="shared" si="35"/>
        <v>11</v>
      </c>
      <c r="O484" s="4" t="s">
        <v>28</v>
      </c>
      <c r="P484" s="4">
        <v>3956.11</v>
      </c>
      <c r="Q484" s="4"/>
      <c r="R484" s="4" t="str">
        <f t="shared" si="32"/>
        <v>2021</v>
      </c>
      <c r="S484" s="4" t="str">
        <f t="shared" si="33"/>
        <v>November</v>
      </c>
      <c r="T484" s="4">
        <f t="shared" si="34"/>
        <v>3956.11</v>
      </c>
      <c r="U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row>
    <row r="485" spans="1:53" ht="19.95" customHeight="1">
      <c r="A485" s="4">
        <v>484</v>
      </c>
      <c r="B485" s="4" t="s">
        <v>1477</v>
      </c>
      <c r="C485" s="4" t="s">
        <v>20</v>
      </c>
      <c r="D485" s="4" t="s">
        <v>21</v>
      </c>
      <c r="E485" s="4" t="s">
        <v>39</v>
      </c>
      <c r="F485" s="4" t="s">
        <v>23</v>
      </c>
      <c r="G485" s="4" t="s">
        <v>24</v>
      </c>
      <c r="H485" s="4" t="s">
        <v>25</v>
      </c>
      <c r="I485" s="4" t="s">
        <v>1478</v>
      </c>
      <c r="J485" s="4" t="s">
        <v>1479</v>
      </c>
      <c r="K485" s="5">
        <v>44488</v>
      </c>
      <c r="L485" s="5">
        <v>44522</v>
      </c>
      <c r="M485" s="5">
        <v>44544</v>
      </c>
      <c r="N485" s="6">
        <f t="shared" si="35"/>
        <v>22</v>
      </c>
      <c r="O485" s="4" t="s">
        <v>28</v>
      </c>
      <c r="P485" s="4">
        <v>24712.080000000002</v>
      </c>
      <c r="Q485" s="4"/>
      <c r="R485" s="4" t="str">
        <f t="shared" si="32"/>
        <v>2021</v>
      </c>
      <c r="S485" s="4" t="str">
        <f t="shared" si="33"/>
        <v>November</v>
      </c>
      <c r="T485" s="4">
        <f t="shared" si="34"/>
        <v>24712.080000000002</v>
      </c>
      <c r="U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row>
    <row r="486" spans="1:53" ht="19.95" customHeight="1">
      <c r="A486" s="4">
        <v>485</v>
      </c>
      <c r="B486" s="4" t="s">
        <v>1480</v>
      </c>
      <c r="C486" s="4" t="s">
        <v>20</v>
      </c>
      <c r="D486" s="4" t="s">
        <v>21</v>
      </c>
      <c r="E486" s="4" t="s">
        <v>39</v>
      </c>
      <c r="F486" s="4" t="s">
        <v>23</v>
      </c>
      <c r="G486" s="4" t="s">
        <v>24</v>
      </c>
      <c r="H486" s="4" t="s">
        <v>25</v>
      </c>
      <c r="I486" s="4" t="s">
        <v>1481</v>
      </c>
      <c r="J486" s="4" t="s">
        <v>1482</v>
      </c>
      <c r="K486" s="5">
        <v>44484</v>
      </c>
      <c r="L486" s="5">
        <v>44533</v>
      </c>
      <c r="M486" s="5">
        <v>44545</v>
      </c>
      <c r="N486" s="6">
        <f t="shared" si="35"/>
        <v>12</v>
      </c>
      <c r="O486" s="4" t="s">
        <v>28</v>
      </c>
      <c r="P486" s="4">
        <v>6726.37</v>
      </c>
      <c r="Q486" s="4"/>
      <c r="R486" s="4" t="str">
        <f t="shared" si="32"/>
        <v>2021</v>
      </c>
      <c r="S486" s="4" t="str">
        <f t="shared" si="33"/>
        <v>December</v>
      </c>
      <c r="T486" s="4">
        <f t="shared" si="34"/>
        <v>6726.37</v>
      </c>
      <c r="U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row>
    <row r="487" spans="1:53" ht="19.95" customHeight="1">
      <c r="A487" s="4">
        <v>486</v>
      </c>
      <c r="B487" s="4" t="s">
        <v>1483</v>
      </c>
      <c r="C487" s="4" t="s">
        <v>65</v>
      </c>
      <c r="D487" s="4" t="s">
        <v>56</v>
      </c>
      <c r="E487" s="4" t="s">
        <v>455</v>
      </c>
      <c r="F487" s="4" t="s">
        <v>24</v>
      </c>
      <c r="G487" s="4" t="s">
        <v>24</v>
      </c>
      <c r="H487" s="4" t="s">
        <v>200</v>
      </c>
      <c r="I487" s="4" t="s">
        <v>1484</v>
      </c>
      <c r="J487" s="4" t="s">
        <v>1485</v>
      </c>
      <c r="K487" s="5">
        <v>44481</v>
      </c>
      <c r="L487" s="5">
        <v>44485</v>
      </c>
      <c r="M487" s="5">
        <v>44486</v>
      </c>
      <c r="N487" s="6">
        <f t="shared" si="35"/>
        <v>1</v>
      </c>
      <c r="O487" s="4" t="s">
        <v>762</v>
      </c>
      <c r="P487" s="4">
        <v>165000</v>
      </c>
      <c r="Q487" s="4"/>
      <c r="R487" s="4" t="str">
        <f t="shared" si="32"/>
        <v>2021</v>
      </c>
      <c r="S487" s="4" t="str">
        <f t="shared" si="33"/>
        <v>October</v>
      </c>
      <c r="T487" s="4">
        <f t="shared" si="34"/>
        <v>165000</v>
      </c>
      <c r="U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row>
    <row r="488" spans="1:53" ht="19.95" customHeight="1">
      <c r="A488" s="4">
        <v>487</v>
      </c>
      <c r="B488" s="4" t="s">
        <v>1486</v>
      </c>
      <c r="C488" s="4" t="s">
        <v>20</v>
      </c>
      <c r="D488" s="4" t="s">
        <v>21</v>
      </c>
      <c r="E488" s="4" t="s">
        <v>455</v>
      </c>
      <c r="F488" s="4" t="s">
        <v>23</v>
      </c>
      <c r="G488" s="4" t="s">
        <v>24</v>
      </c>
      <c r="H488" s="4" t="s">
        <v>25</v>
      </c>
      <c r="I488" s="4" t="s">
        <v>1487</v>
      </c>
      <c r="J488" s="4" t="s">
        <v>1488</v>
      </c>
      <c r="K488" s="5">
        <v>44478</v>
      </c>
      <c r="L488" s="5">
        <v>44634</v>
      </c>
      <c r="M488" s="5">
        <v>44651</v>
      </c>
      <c r="N488" s="6">
        <f t="shared" si="35"/>
        <v>17</v>
      </c>
      <c r="O488" s="4" t="s">
        <v>28</v>
      </c>
      <c r="P488" s="4">
        <v>6711.84</v>
      </c>
      <c r="Q488" s="4"/>
      <c r="R488" s="4" t="str">
        <f t="shared" si="32"/>
        <v>2022</v>
      </c>
      <c r="S488" s="4" t="str">
        <f t="shared" si="33"/>
        <v>March</v>
      </c>
      <c r="T488" s="4">
        <f t="shared" si="34"/>
        <v>6711.84</v>
      </c>
      <c r="U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row>
    <row r="489" spans="1:53" ht="19.95" customHeight="1">
      <c r="A489" s="4">
        <v>488</v>
      </c>
      <c r="B489" s="4" t="s">
        <v>1489</v>
      </c>
      <c r="C489" s="4" t="s">
        <v>20</v>
      </c>
      <c r="D489" s="4" t="s">
        <v>21</v>
      </c>
      <c r="E489" s="4" t="s">
        <v>455</v>
      </c>
      <c r="F489" s="4" t="s">
        <v>23</v>
      </c>
      <c r="G489" s="4" t="s">
        <v>24</v>
      </c>
      <c r="H489" s="4" t="s">
        <v>25</v>
      </c>
      <c r="I489" s="4" t="s">
        <v>1490</v>
      </c>
      <c r="J489" s="4" t="s">
        <v>1491</v>
      </c>
      <c r="K489" s="5">
        <v>44477</v>
      </c>
      <c r="L489" s="5">
        <v>44627</v>
      </c>
      <c r="M489" s="5">
        <v>44644</v>
      </c>
      <c r="N489" s="6">
        <f t="shared" si="35"/>
        <v>17</v>
      </c>
      <c r="O489" s="4" t="s">
        <v>28</v>
      </c>
      <c r="P489" s="4">
        <v>16116.82</v>
      </c>
      <c r="Q489" s="4"/>
      <c r="R489" s="4" t="str">
        <f t="shared" si="32"/>
        <v>2022</v>
      </c>
      <c r="S489" s="4" t="str">
        <f t="shared" si="33"/>
        <v>March</v>
      </c>
      <c r="T489" s="4">
        <f t="shared" si="34"/>
        <v>16116.82</v>
      </c>
      <c r="U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row>
    <row r="490" spans="1:53" ht="19.95" customHeight="1">
      <c r="A490" s="4">
        <v>489</v>
      </c>
      <c r="B490" s="4" t="s">
        <v>1492</v>
      </c>
      <c r="C490" s="4" t="s">
        <v>20</v>
      </c>
      <c r="D490" s="4" t="s">
        <v>356</v>
      </c>
      <c r="E490" s="4" t="s">
        <v>39</v>
      </c>
      <c r="F490" s="4" t="s">
        <v>23</v>
      </c>
      <c r="G490" s="4" t="s">
        <v>24</v>
      </c>
      <c r="H490" s="4" t="s">
        <v>25</v>
      </c>
      <c r="I490" s="4" t="s">
        <v>1493</v>
      </c>
      <c r="J490" s="4" t="s">
        <v>1494</v>
      </c>
      <c r="K490" s="5">
        <v>44475</v>
      </c>
      <c r="L490" s="5">
        <v>44598</v>
      </c>
      <c r="M490" s="5">
        <v>44616</v>
      </c>
      <c r="N490" s="6">
        <f t="shared" si="35"/>
        <v>18</v>
      </c>
      <c r="O490" s="4" t="s">
        <v>28</v>
      </c>
      <c r="P490" s="4">
        <v>1287.52</v>
      </c>
      <c r="Q490" s="4"/>
      <c r="R490" s="4" t="str">
        <f t="shared" si="32"/>
        <v>2022</v>
      </c>
      <c r="S490" s="4" t="str">
        <f t="shared" si="33"/>
        <v>February</v>
      </c>
      <c r="T490" s="4">
        <f t="shared" si="34"/>
        <v>1287.52</v>
      </c>
      <c r="U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row>
    <row r="491" spans="1:53" ht="19.95" customHeight="1">
      <c r="A491" s="4">
        <v>490</v>
      </c>
      <c r="B491" s="4" t="s">
        <v>1495</v>
      </c>
      <c r="C491" s="4" t="s">
        <v>20</v>
      </c>
      <c r="D491" s="4"/>
      <c r="E491" s="4" t="s">
        <v>39</v>
      </c>
      <c r="F491" s="4" t="s">
        <v>23</v>
      </c>
      <c r="G491" s="4" t="s">
        <v>24</v>
      </c>
      <c r="H491" s="4" t="s">
        <v>346</v>
      </c>
      <c r="I491" s="4" t="s">
        <v>835</v>
      </c>
      <c r="J491" s="4" t="s">
        <v>1496</v>
      </c>
      <c r="K491" s="5">
        <v>44471</v>
      </c>
      <c r="L491" s="5">
        <v>44532</v>
      </c>
      <c r="M491" s="5">
        <v>44541</v>
      </c>
      <c r="N491" s="6">
        <f t="shared" si="35"/>
        <v>9</v>
      </c>
      <c r="O491" s="4" t="s">
        <v>28</v>
      </c>
      <c r="P491" s="4">
        <v>11916.42</v>
      </c>
      <c r="Q491" s="4"/>
      <c r="R491" s="4" t="str">
        <f t="shared" si="32"/>
        <v>2021</v>
      </c>
      <c r="S491" s="4" t="str">
        <f t="shared" si="33"/>
        <v>December</v>
      </c>
      <c r="T491" s="4">
        <f t="shared" si="34"/>
        <v>11916.42</v>
      </c>
      <c r="U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row>
    <row r="492" spans="1:53" ht="19.95" customHeight="1">
      <c r="A492" s="4">
        <v>491</v>
      </c>
      <c r="B492" s="4" t="s">
        <v>1497</v>
      </c>
      <c r="C492" s="4" t="s">
        <v>20</v>
      </c>
      <c r="D492" s="4" t="s">
        <v>21</v>
      </c>
      <c r="E492" s="4" t="s">
        <v>455</v>
      </c>
      <c r="F492" s="4" t="s">
        <v>24</v>
      </c>
      <c r="G492" s="4" t="s">
        <v>24</v>
      </c>
      <c r="H492" s="4" t="s">
        <v>200</v>
      </c>
      <c r="I492" s="4" t="s">
        <v>1498</v>
      </c>
      <c r="J492" s="4" t="s">
        <v>1499</v>
      </c>
      <c r="K492" s="5">
        <v>44470</v>
      </c>
      <c r="L492" s="5">
        <v>44536</v>
      </c>
      <c r="M492" s="5">
        <v>44542</v>
      </c>
      <c r="N492" s="6">
        <f t="shared" si="35"/>
        <v>6</v>
      </c>
      <c r="O492" s="4" t="s">
        <v>762</v>
      </c>
      <c r="P492" s="4">
        <v>3840</v>
      </c>
      <c r="Q492" s="4"/>
      <c r="R492" s="4" t="str">
        <f t="shared" si="32"/>
        <v>2021</v>
      </c>
      <c r="S492" s="4" t="str">
        <f t="shared" si="33"/>
        <v>December</v>
      </c>
      <c r="T492" s="4">
        <f t="shared" si="34"/>
        <v>3840</v>
      </c>
      <c r="U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row>
    <row r="493" spans="1:53" ht="19.95" customHeight="1">
      <c r="A493" s="4">
        <v>492</v>
      </c>
      <c r="B493" s="4" t="s">
        <v>1500</v>
      </c>
      <c r="C493" s="4" t="s">
        <v>20</v>
      </c>
      <c r="D493" s="4"/>
      <c r="E493" s="4" t="s">
        <v>39</v>
      </c>
      <c r="F493" s="4" t="s">
        <v>116</v>
      </c>
      <c r="G493" s="4" t="s">
        <v>24</v>
      </c>
      <c r="H493" s="4" t="s">
        <v>25</v>
      </c>
      <c r="I493" s="4" t="s">
        <v>1501</v>
      </c>
      <c r="J493" s="4" t="s">
        <v>1502</v>
      </c>
      <c r="K493" s="5">
        <v>44467</v>
      </c>
      <c r="L493" s="5">
        <v>44598</v>
      </c>
      <c r="M493" s="5">
        <v>44620</v>
      </c>
      <c r="N493" s="6">
        <f t="shared" si="35"/>
        <v>22</v>
      </c>
      <c r="O493" s="4" t="s">
        <v>28</v>
      </c>
      <c r="P493" s="4">
        <v>14267.78</v>
      </c>
      <c r="Q493" s="4"/>
      <c r="R493" s="4" t="str">
        <f t="shared" si="32"/>
        <v>2022</v>
      </c>
      <c r="S493" s="4" t="str">
        <f t="shared" si="33"/>
        <v>February</v>
      </c>
      <c r="T493" s="4">
        <f t="shared" si="34"/>
        <v>14267.78</v>
      </c>
      <c r="U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row>
    <row r="494" spans="1:53" ht="19.95" customHeight="1">
      <c r="A494" s="4">
        <v>493</v>
      </c>
      <c r="B494" s="4" t="s">
        <v>1503</v>
      </c>
      <c r="C494" s="4" t="s">
        <v>65</v>
      </c>
      <c r="D494" s="4" t="s">
        <v>21</v>
      </c>
      <c r="E494" s="4" t="s">
        <v>455</v>
      </c>
      <c r="F494" s="4" t="s">
        <v>43</v>
      </c>
      <c r="G494" s="4" t="s">
        <v>24</v>
      </c>
      <c r="H494" s="4" t="s">
        <v>44</v>
      </c>
      <c r="I494" s="4" t="s">
        <v>1504</v>
      </c>
      <c r="J494" s="4" t="s">
        <v>1505</v>
      </c>
      <c r="K494" s="5">
        <v>44445</v>
      </c>
      <c r="L494" s="5">
        <v>44585</v>
      </c>
      <c r="M494" s="5">
        <v>44591</v>
      </c>
      <c r="N494" s="6">
        <f t="shared" si="35"/>
        <v>6</v>
      </c>
      <c r="O494" s="4" t="s">
        <v>28</v>
      </c>
      <c r="P494" s="4">
        <v>7799.31</v>
      </c>
      <c r="Q494" s="4"/>
      <c r="R494" s="4" t="str">
        <f t="shared" si="32"/>
        <v>2022</v>
      </c>
      <c r="S494" s="4" t="str">
        <f t="shared" si="33"/>
        <v>January</v>
      </c>
      <c r="T494" s="4">
        <f t="shared" si="34"/>
        <v>7799.31</v>
      </c>
      <c r="U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row>
    <row r="495" spans="1:53" ht="19.95" customHeight="1">
      <c r="A495" s="4">
        <v>494</v>
      </c>
      <c r="B495" s="4" t="s">
        <v>1506</v>
      </c>
      <c r="C495" s="4" t="s">
        <v>65</v>
      </c>
      <c r="D495" s="4" t="s">
        <v>1383</v>
      </c>
      <c r="E495" s="4" t="s">
        <v>1507</v>
      </c>
      <c r="F495" s="4" t="s">
        <v>589</v>
      </c>
      <c r="G495" s="4" t="s">
        <v>24</v>
      </c>
      <c r="H495" s="4" t="s">
        <v>346</v>
      </c>
      <c r="I495" s="4" t="s">
        <v>1508</v>
      </c>
      <c r="J495" s="4"/>
      <c r="K495" s="5">
        <v>44441</v>
      </c>
      <c r="L495" s="5">
        <v>44446</v>
      </c>
      <c r="M495" s="5">
        <v>44664</v>
      </c>
      <c r="N495" s="6">
        <f t="shared" si="35"/>
        <v>218</v>
      </c>
      <c r="O495" s="4" t="s">
        <v>28</v>
      </c>
      <c r="P495" s="4">
        <v>450</v>
      </c>
      <c r="Q495" s="4"/>
      <c r="R495" s="4" t="str">
        <f t="shared" si="32"/>
        <v>2021</v>
      </c>
      <c r="S495" s="4" t="str">
        <f t="shared" si="33"/>
        <v>September</v>
      </c>
      <c r="T495" s="4">
        <f t="shared" si="34"/>
        <v>450</v>
      </c>
      <c r="U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row>
    <row r="496" spans="1:53" ht="19.95" customHeight="1">
      <c r="A496" s="4">
        <v>495</v>
      </c>
      <c r="B496" s="4" t="s">
        <v>1509</v>
      </c>
      <c r="C496" s="4" t="s">
        <v>20</v>
      </c>
      <c r="D496" s="4" t="s">
        <v>38</v>
      </c>
      <c r="E496" s="4" t="s">
        <v>39</v>
      </c>
      <c r="F496" s="4" t="s">
        <v>23</v>
      </c>
      <c r="G496" s="4" t="s">
        <v>24</v>
      </c>
      <c r="H496" s="4" t="s">
        <v>25</v>
      </c>
      <c r="I496" s="4" t="s">
        <v>1510</v>
      </c>
      <c r="J496" s="4" t="s">
        <v>1511</v>
      </c>
      <c r="K496" s="5">
        <v>44405</v>
      </c>
      <c r="L496" s="5">
        <v>44470</v>
      </c>
      <c r="M496" s="5">
        <v>44493</v>
      </c>
      <c r="N496" s="6">
        <f t="shared" si="35"/>
        <v>23</v>
      </c>
      <c r="O496" s="4" t="s">
        <v>28</v>
      </c>
      <c r="P496" s="4">
        <v>18146.5</v>
      </c>
      <c r="Q496" s="4"/>
      <c r="R496" s="4" t="str">
        <f t="shared" si="32"/>
        <v>2021</v>
      </c>
      <c r="S496" s="4" t="str">
        <f t="shared" si="33"/>
        <v>October</v>
      </c>
      <c r="T496" s="4">
        <f t="shared" si="34"/>
        <v>18146.5</v>
      </c>
      <c r="U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row>
    <row r="497" spans="1:53" ht="19.95" customHeight="1">
      <c r="A497" s="4">
        <v>496</v>
      </c>
      <c r="B497" s="4" t="s">
        <v>1512</v>
      </c>
      <c r="C497" s="4" t="s">
        <v>65</v>
      </c>
      <c r="D497" s="4" t="s">
        <v>21</v>
      </c>
      <c r="E497" s="4" t="s">
        <v>39</v>
      </c>
      <c r="F497" s="4" t="s">
        <v>320</v>
      </c>
      <c r="G497" s="4" t="s">
        <v>24</v>
      </c>
      <c r="H497" s="4" t="s">
        <v>321</v>
      </c>
      <c r="I497" s="4" t="s">
        <v>1513</v>
      </c>
      <c r="J497" s="4" t="s">
        <v>1514</v>
      </c>
      <c r="K497" s="5">
        <v>44393</v>
      </c>
      <c r="L497" s="5">
        <v>44411</v>
      </c>
      <c r="M497" s="5">
        <v>44435</v>
      </c>
      <c r="N497" s="6">
        <f t="shared" si="35"/>
        <v>24</v>
      </c>
      <c r="O497" s="4" t="s">
        <v>28</v>
      </c>
      <c r="P497" s="4">
        <v>14189.84</v>
      </c>
      <c r="Q497" s="4"/>
      <c r="R497" s="4" t="str">
        <f t="shared" si="32"/>
        <v>2021</v>
      </c>
      <c r="S497" s="4" t="str">
        <f t="shared" si="33"/>
        <v>August</v>
      </c>
      <c r="T497" s="4">
        <f t="shared" si="34"/>
        <v>14189.84</v>
      </c>
      <c r="U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row>
    <row r="498" spans="1:53" ht="19.95" customHeight="1">
      <c r="A498" s="4">
        <v>497</v>
      </c>
      <c r="B498" s="4" t="s">
        <v>1515</v>
      </c>
      <c r="C498" s="4" t="s">
        <v>65</v>
      </c>
      <c r="D498" s="4" t="s">
        <v>21</v>
      </c>
      <c r="E498" s="4" t="s">
        <v>1357</v>
      </c>
      <c r="F498" s="4" t="s">
        <v>589</v>
      </c>
      <c r="G498" s="4" t="s">
        <v>24</v>
      </c>
      <c r="H498" s="4" t="s">
        <v>346</v>
      </c>
      <c r="I498" s="4" t="s">
        <v>1516</v>
      </c>
      <c r="J498" s="4" t="s">
        <v>1517</v>
      </c>
      <c r="K498" s="5">
        <v>44382</v>
      </c>
      <c r="L498" s="5">
        <v>44409</v>
      </c>
      <c r="M498" s="5">
        <v>44422</v>
      </c>
      <c r="N498" s="6">
        <f t="shared" si="35"/>
        <v>13</v>
      </c>
      <c r="O498" s="4" t="s">
        <v>28</v>
      </c>
      <c r="P498" s="4">
        <v>4862.91</v>
      </c>
      <c r="Q498" s="4"/>
      <c r="R498" s="4" t="str">
        <f t="shared" si="32"/>
        <v>2021</v>
      </c>
      <c r="S498" s="4" t="str">
        <f t="shared" si="33"/>
        <v>August</v>
      </c>
      <c r="T498" s="4">
        <f t="shared" si="34"/>
        <v>4862.91</v>
      </c>
      <c r="U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row>
    <row r="499" spans="1:53" ht="19.95" customHeight="1">
      <c r="A499" s="4">
        <v>498</v>
      </c>
      <c r="B499" s="4" t="s">
        <v>1518</v>
      </c>
      <c r="C499" s="4" t="s">
        <v>20</v>
      </c>
      <c r="D499" s="4" t="s">
        <v>56</v>
      </c>
      <c r="E499" s="4" t="s">
        <v>614</v>
      </c>
      <c r="F499" s="4" t="s">
        <v>1519</v>
      </c>
      <c r="G499" s="4" t="s">
        <v>24</v>
      </c>
      <c r="H499" s="4" t="s">
        <v>1519</v>
      </c>
      <c r="I499" s="4" t="s">
        <v>1520</v>
      </c>
      <c r="J499" s="4" t="s">
        <v>1521</v>
      </c>
      <c r="K499" s="5">
        <v>44329</v>
      </c>
      <c r="L499" s="5">
        <v>44337</v>
      </c>
      <c r="M499" s="5">
        <v>44364</v>
      </c>
      <c r="N499" s="6">
        <f t="shared" si="35"/>
        <v>27</v>
      </c>
      <c r="O499" s="4" t="s">
        <v>28</v>
      </c>
      <c r="P499" s="4">
        <v>2695.8</v>
      </c>
      <c r="Q499" s="4"/>
      <c r="R499" s="4" t="str">
        <f t="shared" si="32"/>
        <v>2021</v>
      </c>
      <c r="S499" s="4" t="str">
        <f t="shared" si="33"/>
        <v>May</v>
      </c>
      <c r="T499" s="4">
        <f t="shared" si="34"/>
        <v>2695.8</v>
      </c>
      <c r="U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row>
    <row r="500" spans="1:53" ht="19.95" customHeight="1">
      <c r="A500" s="4">
        <v>499</v>
      </c>
      <c r="B500" s="4" t="s">
        <v>1522</v>
      </c>
      <c r="C500" s="4" t="s">
        <v>20</v>
      </c>
      <c r="D500" s="4" t="s">
        <v>56</v>
      </c>
      <c r="E500" s="4" t="s">
        <v>1523</v>
      </c>
      <c r="F500" s="4" t="s">
        <v>24</v>
      </c>
      <c r="G500" s="4" t="s">
        <v>24</v>
      </c>
      <c r="H500" s="4" t="s">
        <v>200</v>
      </c>
      <c r="I500" s="4" t="s">
        <v>1524</v>
      </c>
      <c r="J500" s="4"/>
      <c r="K500" s="5">
        <v>44321</v>
      </c>
      <c r="L500" s="5">
        <v>44321</v>
      </c>
      <c r="M500" s="5">
        <v>44321</v>
      </c>
      <c r="N500" s="6">
        <f t="shared" si="35"/>
        <v>0</v>
      </c>
      <c r="O500" s="4" t="s">
        <v>762</v>
      </c>
      <c r="P500" s="4">
        <v>26500</v>
      </c>
      <c r="Q500" s="4"/>
      <c r="R500" s="4" t="str">
        <f t="shared" si="32"/>
        <v>2021</v>
      </c>
      <c r="S500" s="4" t="str">
        <f t="shared" si="33"/>
        <v>May</v>
      </c>
      <c r="T500" s="4">
        <f t="shared" si="34"/>
        <v>26500</v>
      </c>
      <c r="U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row>
    <row r="501" spans="1:53" ht="19.95" customHeight="1">
      <c r="A501" s="4">
        <v>500</v>
      </c>
      <c r="B501" s="4" t="s">
        <v>1525</v>
      </c>
      <c r="C501" s="4" t="s">
        <v>20</v>
      </c>
      <c r="D501" s="4" t="s">
        <v>38</v>
      </c>
      <c r="E501" s="4" t="s">
        <v>614</v>
      </c>
      <c r="F501" s="4" t="s">
        <v>77</v>
      </c>
      <c r="G501" s="4" t="s">
        <v>24</v>
      </c>
      <c r="H501" s="4" t="s">
        <v>25</v>
      </c>
      <c r="I501" s="4" t="s">
        <v>1526</v>
      </c>
      <c r="J501" s="4" t="s">
        <v>1527</v>
      </c>
      <c r="K501" s="5">
        <v>44310</v>
      </c>
      <c r="L501" s="5">
        <v>44316</v>
      </c>
      <c r="M501" s="5">
        <v>44317</v>
      </c>
      <c r="N501" s="6">
        <f t="shared" si="35"/>
        <v>1</v>
      </c>
      <c r="O501" s="4" t="s">
        <v>28</v>
      </c>
      <c r="P501" s="4">
        <v>341.69</v>
      </c>
      <c r="Q501" s="4"/>
      <c r="R501" s="4" t="str">
        <f t="shared" si="32"/>
        <v>2021</v>
      </c>
      <c r="S501" s="4" t="str">
        <f t="shared" si="33"/>
        <v>April</v>
      </c>
      <c r="T501" s="4">
        <f t="shared" si="34"/>
        <v>341.69</v>
      </c>
      <c r="U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row>
    <row r="502" spans="1:53" ht="19.95" customHeight="1">
      <c r="A502" s="4">
        <v>501</v>
      </c>
      <c r="B502" s="4" t="s">
        <v>1528</v>
      </c>
      <c r="C502" s="4" t="s">
        <v>20</v>
      </c>
      <c r="D502" s="4" t="s">
        <v>21</v>
      </c>
      <c r="E502" s="4" t="s">
        <v>614</v>
      </c>
      <c r="F502" s="4" t="s">
        <v>23</v>
      </c>
      <c r="G502" s="4" t="s">
        <v>24</v>
      </c>
      <c r="H502" s="4" t="s">
        <v>25</v>
      </c>
      <c r="I502" s="4" t="s">
        <v>1529</v>
      </c>
      <c r="J502" s="4" t="s">
        <v>1530</v>
      </c>
      <c r="K502" s="5">
        <v>44296</v>
      </c>
      <c r="L502" s="5">
        <v>44622</v>
      </c>
      <c r="M502" s="5">
        <v>44642</v>
      </c>
      <c r="N502" s="6">
        <f t="shared" si="35"/>
        <v>20</v>
      </c>
      <c r="O502" s="4" t="s">
        <v>334</v>
      </c>
      <c r="P502" s="4">
        <v>9727.75</v>
      </c>
      <c r="Q502" s="4"/>
      <c r="R502" s="4" t="str">
        <f t="shared" si="32"/>
        <v>2022</v>
      </c>
      <c r="S502" s="4" t="str">
        <f t="shared" si="33"/>
        <v>March</v>
      </c>
      <c r="T502" s="4">
        <f t="shared" si="34"/>
        <v>9727.75</v>
      </c>
      <c r="U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row>
    <row r="503" spans="1:53" ht="19.95" customHeight="1">
      <c r="A503" s="4">
        <v>502</v>
      </c>
      <c r="B503" s="4" t="s">
        <v>1531</v>
      </c>
      <c r="C503" s="4" t="s">
        <v>20</v>
      </c>
      <c r="D503" s="4" t="s">
        <v>21</v>
      </c>
      <c r="E503" s="4" t="s">
        <v>455</v>
      </c>
      <c r="F503" s="4" t="s">
        <v>96</v>
      </c>
      <c r="G503" s="4" t="s">
        <v>24</v>
      </c>
      <c r="H503" s="4" t="s">
        <v>224</v>
      </c>
      <c r="I503" s="4" t="s">
        <v>1532</v>
      </c>
      <c r="J503" s="4" t="s">
        <v>1533</v>
      </c>
      <c r="K503" s="5">
        <v>44288</v>
      </c>
      <c r="L503" s="5">
        <v>44299</v>
      </c>
      <c r="M503" s="5">
        <v>44335</v>
      </c>
      <c r="N503" s="6">
        <f t="shared" si="35"/>
        <v>36</v>
      </c>
      <c r="O503" s="4" t="s">
        <v>28</v>
      </c>
      <c r="P503" s="4">
        <v>1083.5999999999999</v>
      </c>
      <c r="Q503" s="4"/>
      <c r="R503" s="4" t="str">
        <f t="shared" si="32"/>
        <v>2021</v>
      </c>
      <c r="S503" s="4" t="str">
        <f t="shared" si="33"/>
        <v>April</v>
      </c>
      <c r="T503" s="4">
        <f t="shared" si="34"/>
        <v>1083.5999999999999</v>
      </c>
      <c r="U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row>
    <row r="504" spans="1:53" ht="19.95" customHeight="1">
      <c r="A504" s="4">
        <v>503</v>
      </c>
      <c r="B504" s="4" t="s">
        <v>1534</v>
      </c>
      <c r="C504" s="4" t="s">
        <v>20</v>
      </c>
      <c r="D504" s="4" t="s">
        <v>21</v>
      </c>
      <c r="E504" s="4" t="s">
        <v>455</v>
      </c>
      <c r="F504" s="4" t="s">
        <v>722</v>
      </c>
      <c r="G504" s="4" t="s">
        <v>24</v>
      </c>
      <c r="H504" s="4" t="s">
        <v>286</v>
      </c>
      <c r="I504" s="4" t="s">
        <v>1535</v>
      </c>
      <c r="J504" s="4" t="s">
        <v>1536</v>
      </c>
      <c r="K504" s="5">
        <v>44264</v>
      </c>
      <c r="L504" s="5">
        <v>44273</v>
      </c>
      <c r="M504" s="5">
        <v>44292</v>
      </c>
      <c r="N504" s="6">
        <f t="shared" si="35"/>
        <v>19</v>
      </c>
      <c r="O504" s="4" t="s">
        <v>28</v>
      </c>
      <c r="P504" s="4">
        <v>6863.15</v>
      </c>
      <c r="Q504" s="4"/>
      <c r="R504" s="4" t="str">
        <f t="shared" si="32"/>
        <v>2021</v>
      </c>
      <c r="S504" s="4" t="str">
        <f t="shared" si="33"/>
        <v>March</v>
      </c>
      <c r="T504" s="4">
        <f t="shared" si="34"/>
        <v>6863.15</v>
      </c>
      <c r="U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row>
    <row r="505" spans="1:53" ht="19.95" customHeight="1">
      <c r="A505" s="4">
        <v>504</v>
      </c>
      <c r="B505" s="4" t="s">
        <v>1537</v>
      </c>
      <c r="C505" s="4" t="s">
        <v>20</v>
      </c>
      <c r="D505" s="4" t="s">
        <v>21</v>
      </c>
      <c r="E505" s="4" t="s">
        <v>455</v>
      </c>
      <c r="F505" s="4" t="s">
        <v>23</v>
      </c>
      <c r="G505" s="4" t="s">
        <v>24</v>
      </c>
      <c r="H505" s="4" t="s">
        <v>25</v>
      </c>
      <c r="I505" s="4" t="s">
        <v>1538</v>
      </c>
      <c r="J505" s="4" t="s">
        <v>1539</v>
      </c>
      <c r="K505" s="5">
        <v>44264</v>
      </c>
      <c r="L505" s="5">
        <v>44284</v>
      </c>
      <c r="M505" s="5">
        <v>44298</v>
      </c>
      <c r="N505" s="6">
        <f t="shared" si="35"/>
        <v>14</v>
      </c>
      <c r="O505" s="4" t="s">
        <v>28</v>
      </c>
      <c r="P505" s="4">
        <v>15670.82</v>
      </c>
      <c r="Q505" s="4"/>
      <c r="R505" s="4" t="str">
        <f t="shared" si="32"/>
        <v>2021</v>
      </c>
      <c r="S505" s="4" t="str">
        <f t="shared" si="33"/>
        <v>March</v>
      </c>
      <c r="T505" s="4">
        <f t="shared" si="34"/>
        <v>15670.82</v>
      </c>
      <c r="U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row>
    <row r="506" spans="1:53" ht="19.95" customHeight="1">
      <c r="A506" s="4">
        <v>505</v>
      </c>
      <c r="B506" s="4" t="s">
        <v>1540</v>
      </c>
      <c r="C506" s="4" t="s">
        <v>20</v>
      </c>
      <c r="D506" s="4" t="s">
        <v>356</v>
      </c>
      <c r="E506" s="4" t="s">
        <v>614</v>
      </c>
      <c r="F506" s="4" t="s">
        <v>23</v>
      </c>
      <c r="G506" s="4" t="s">
        <v>24</v>
      </c>
      <c r="H506" s="4" t="s">
        <v>25</v>
      </c>
      <c r="I506" s="4" t="s">
        <v>1541</v>
      </c>
      <c r="J506" s="4" t="s">
        <v>1542</v>
      </c>
      <c r="K506" s="5">
        <v>44260</v>
      </c>
      <c r="L506" s="5">
        <v>44269</v>
      </c>
      <c r="M506" s="5">
        <v>44301</v>
      </c>
      <c r="N506" s="6">
        <f t="shared" si="35"/>
        <v>32</v>
      </c>
      <c r="O506" s="4" t="s">
        <v>334</v>
      </c>
      <c r="P506" s="4">
        <v>25069</v>
      </c>
      <c r="Q506" s="4"/>
      <c r="R506" s="4" t="str">
        <f t="shared" si="32"/>
        <v>2021</v>
      </c>
      <c r="S506" s="4" t="str">
        <f t="shared" si="33"/>
        <v>March</v>
      </c>
      <c r="T506" s="4">
        <f t="shared" si="34"/>
        <v>25069</v>
      </c>
      <c r="U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row>
    <row r="507" spans="1:53" ht="19.95" customHeight="1">
      <c r="A507" s="4">
        <v>506</v>
      </c>
      <c r="B507" s="4" t="s">
        <v>1543</v>
      </c>
      <c r="C507" s="4" t="s">
        <v>20</v>
      </c>
      <c r="D507" s="4" t="s">
        <v>21</v>
      </c>
      <c r="E507" s="4" t="s">
        <v>1544</v>
      </c>
      <c r="F507" s="4" t="s">
        <v>253</v>
      </c>
      <c r="G507" s="4" t="s">
        <v>24</v>
      </c>
      <c r="H507" s="4" t="s">
        <v>254</v>
      </c>
      <c r="I507" s="4" t="s">
        <v>1545</v>
      </c>
      <c r="J507" s="4" t="s">
        <v>1546</v>
      </c>
      <c r="K507" s="5">
        <v>44246</v>
      </c>
      <c r="L507" s="5">
        <v>44264</v>
      </c>
      <c r="M507" s="5">
        <v>44280</v>
      </c>
      <c r="N507" s="6">
        <f t="shared" si="35"/>
        <v>16</v>
      </c>
      <c r="O507" s="4" t="s">
        <v>28</v>
      </c>
      <c r="P507" s="4">
        <v>18510.54</v>
      </c>
      <c r="Q507" s="4"/>
      <c r="R507" s="4" t="str">
        <f t="shared" si="32"/>
        <v>2021</v>
      </c>
      <c r="S507" s="4" t="str">
        <f t="shared" si="33"/>
        <v>March</v>
      </c>
      <c r="T507" s="4">
        <f t="shared" si="34"/>
        <v>18510.54</v>
      </c>
      <c r="U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row>
    <row r="508" spans="1:53" ht="19.95" customHeight="1">
      <c r="A508" s="4">
        <v>507</v>
      </c>
      <c r="B508" s="4" t="s">
        <v>1547</v>
      </c>
      <c r="C508" s="4" t="s">
        <v>65</v>
      </c>
      <c r="D508" s="4" t="s">
        <v>1383</v>
      </c>
      <c r="E508" s="4" t="s">
        <v>1434</v>
      </c>
      <c r="F508" s="4" t="s">
        <v>23</v>
      </c>
      <c r="G508" s="4" t="s">
        <v>24</v>
      </c>
      <c r="H508" s="4" t="s">
        <v>25</v>
      </c>
      <c r="I508" s="4" t="s">
        <v>1548</v>
      </c>
      <c r="J508" s="4" t="s">
        <v>1549</v>
      </c>
      <c r="K508" s="5">
        <v>44231</v>
      </c>
      <c r="L508" s="5">
        <v>44236</v>
      </c>
      <c r="M508" s="5">
        <v>44322</v>
      </c>
      <c r="N508" s="6">
        <f t="shared" si="35"/>
        <v>86</v>
      </c>
      <c r="O508" s="4" t="s">
        <v>28</v>
      </c>
      <c r="P508" s="4">
        <v>4676.72</v>
      </c>
      <c r="Q508" s="4"/>
      <c r="R508" s="4" t="str">
        <f t="shared" si="32"/>
        <v>2021</v>
      </c>
      <c r="S508" s="4" t="str">
        <f t="shared" si="33"/>
        <v>February</v>
      </c>
      <c r="T508" s="4">
        <f t="shared" si="34"/>
        <v>4676.72</v>
      </c>
      <c r="U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row>
    <row r="509" spans="1:53" ht="19.95" customHeight="1">
      <c r="A509" s="4">
        <v>508</v>
      </c>
      <c r="B509" s="4" t="s">
        <v>1550</v>
      </c>
      <c r="C509" s="4" t="s">
        <v>20</v>
      </c>
      <c r="D509" s="4" t="s">
        <v>21</v>
      </c>
      <c r="E509" s="4" t="s">
        <v>455</v>
      </c>
      <c r="F509" s="4" t="s">
        <v>24</v>
      </c>
      <c r="G509" s="4" t="s">
        <v>24</v>
      </c>
      <c r="H509" s="4" t="s">
        <v>129</v>
      </c>
      <c r="I509" s="4" t="s">
        <v>1551</v>
      </c>
      <c r="J509" s="4" t="s">
        <v>1552</v>
      </c>
      <c r="K509" s="5">
        <v>44215</v>
      </c>
      <c r="L509" s="5">
        <v>44232</v>
      </c>
      <c r="M509" s="5">
        <v>44239</v>
      </c>
      <c r="N509" s="6">
        <f t="shared" si="35"/>
        <v>7</v>
      </c>
      <c r="O509" s="4" t="s">
        <v>762</v>
      </c>
      <c r="P509" s="4">
        <v>262400.33</v>
      </c>
      <c r="Q509" s="4"/>
      <c r="R509" s="4" t="str">
        <f t="shared" si="32"/>
        <v>2021</v>
      </c>
      <c r="S509" s="4" t="str">
        <f t="shared" si="33"/>
        <v>February</v>
      </c>
      <c r="T509" s="4">
        <f t="shared" si="34"/>
        <v>262400.33</v>
      </c>
      <c r="U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row>
    <row r="510" spans="1:53" ht="19.95" customHeight="1">
      <c r="A510" s="4">
        <v>509</v>
      </c>
      <c r="B510" s="4" t="s">
        <v>1553</v>
      </c>
      <c r="C510" s="4" t="s">
        <v>20</v>
      </c>
      <c r="D510" s="4" t="s">
        <v>21</v>
      </c>
      <c r="E510" s="4" t="s">
        <v>1554</v>
      </c>
      <c r="F510" s="4" t="s">
        <v>43</v>
      </c>
      <c r="G510" s="4" t="s">
        <v>24</v>
      </c>
      <c r="H510" s="4" t="s">
        <v>25</v>
      </c>
      <c r="I510" s="4" t="s">
        <v>1555</v>
      </c>
      <c r="J510" s="4" t="s">
        <v>1556</v>
      </c>
      <c r="K510" s="5">
        <v>44159</v>
      </c>
      <c r="L510" s="5">
        <v>44646</v>
      </c>
      <c r="M510" s="5">
        <v>44657</v>
      </c>
      <c r="N510" s="6">
        <f t="shared" si="35"/>
        <v>11</v>
      </c>
      <c r="O510" s="4" t="s">
        <v>28</v>
      </c>
      <c r="P510" s="4">
        <v>7498.14</v>
      </c>
      <c r="Q510" s="4"/>
      <c r="R510" s="4" t="str">
        <f t="shared" si="32"/>
        <v>2022</v>
      </c>
      <c r="S510" s="4" t="str">
        <f t="shared" si="33"/>
        <v>March</v>
      </c>
      <c r="T510" s="4">
        <f t="shared" si="34"/>
        <v>7498.14</v>
      </c>
      <c r="U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row>
    <row r="511" spans="1:53" ht="19.95" customHeight="1">
      <c r="A511" s="4">
        <v>510</v>
      </c>
      <c r="B511" s="4" t="s">
        <v>1557</v>
      </c>
      <c r="C511" s="4" t="s">
        <v>20</v>
      </c>
      <c r="D511" s="4" t="s">
        <v>21</v>
      </c>
      <c r="E511" s="4" t="s">
        <v>455</v>
      </c>
      <c r="F511" s="4" t="s">
        <v>23</v>
      </c>
      <c r="G511" s="4" t="s">
        <v>24</v>
      </c>
      <c r="H511" s="4" t="s">
        <v>25</v>
      </c>
      <c r="I511" s="4" t="s">
        <v>1558</v>
      </c>
      <c r="J511" s="4" t="s">
        <v>1559</v>
      </c>
      <c r="K511" s="5">
        <v>44120</v>
      </c>
      <c r="L511" s="5">
        <v>44620</v>
      </c>
      <c r="M511" s="5">
        <v>44637</v>
      </c>
      <c r="N511" s="6">
        <f t="shared" si="35"/>
        <v>17</v>
      </c>
      <c r="O511" s="4" t="s">
        <v>28</v>
      </c>
      <c r="P511" s="4">
        <v>5938.4</v>
      </c>
      <c r="Q511" s="4"/>
      <c r="R511" s="4" t="str">
        <f t="shared" si="32"/>
        <v>2022</v>
      </c>
      <c r="S511" s="4" t="str">
        <f t="shared" si="33"/>
        <v>February</v>
      </c>
      <c r="T511" s="4">
        <f t="shared" si="34"/>
        <v>5938.4</v>
      </c>
      <c r="U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row>
    <row r="512" spans="1:53" ht="19.95" customHeight="1">
      <c r="A512" s="4">
        <v>511</v>
      </c>
      <c r="B512" s="4" t="s">
        <v>1560</v>
      </c>
      <c r="C512" s="4" t="s">
        <v>65</v>
      </c>
      <c r="D512" s="4" t="s">
        <v>21</v>
      </c>
      <c r="E512" s="4" t="s">
        <v>455</v>
      </c>
      <c r="F512" s="4" t="s">
        <v>23</v>
      </c>
      <c r="G512" s="4" t="s">
        <v>24</v>
      </c>
      <c r="H512" s="4" t="s">
        <v>25</v>
      </c>
      <c r="I512" s="4" t="s">
        <v>1561</v>
      </c>
      <c r="J512" s="4" t="s">
        <v>1562</v>
      </c>
      <c r="K512" s="5">
        <v>44048</v>
      </c>
      <c r="L512" s="5">
        <v>44604</v>
      </c>
      <c r="M512" s="5">
        <v>44611</v>
      </c>
      <c r="N512" s="6">
        <f t="shared" si="35"/>
        <v>7</v>
      </c>
      <c r="O512" s="4" t="s">
        <v>28</v>
      </c>
      <c r="P512" s="4">
        <v>18334.91</v>
      </c>
      <c r="Q512" s="4"/>
      <c r="R512" s="4" t="str">
        <f t="shared" si="32"/>
        <v>2022</v>
      </c>
      <c r="S512" s="4" t="str">
        <f t="shared" si="33"/>
        <v>February</v>
      </c>
      <c r="T512" s="4">
        <f t="shared" si="34"/>
        <v>18334.91</v>
      </c>
      <c r="U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row>
    <row r="513" spans="1:53" ht="19.95" customHeight="1">
      <c r="A513" s="4">
        <v>512</v>
      </c>
      <c r="B513" s="4" t="s">
        <v>1563</v>
      </c>
      <c r="C513" s="4" t="s">
        <v>20</v>
      </c>
      <c r="D513" s="4" t="s">
        <v>56</v>
      </c>
      <c r="E513" s="4" t="s">
        <v>1523</v>
      </c>
      <c r="F513" s="4" t="s">
        <v>24</v>
      </c>
      <c r="G513" s="4" t="s">
        <v>24</v>
      </c>
      <c r="H513" s="4" t="s">
        <v>200</v>
      </c>
      <c r="I513" s="4" t="s">
        <v>1564</v>
      </c>
      <c r="J513" s="4"/>
      <c r="K513" s="5">
        <v>44031</v>
      </c>
      <c r="L513" s="5">
        <v>44031</v>
      </c>
      <c r="M513" s="5">
        <v>44031</v>
      </c>
      <c r="N513" s="6">
        <f t="shared" si="35"/>
        <v>0</v>
      </c>
      <c r="O513" s="4" t="s">
        <v>762</v>
      </c>
      <c r="P513" s="4">
        <v>32000</v>
      </c>
      <c r="Q513" s="4"/>
      <c r="R513" s="4" t="str">
        <f t="shared" si="32"/>
        <v>2020</v>
      </c>
      <c r="S513" s="4" t="str">
        <f t="shared" si="33"/>
        <v>July</v>
      </c>
      <c r="T513" s="4">
        <f t="shared" si="34"/>
        <v>32000</v>
      </c>
      <c r="U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row>
    <row r="514" spans="1:53" ht="19.95" customHeight="1">
      <c r="A514" s="4">
        <v>513</v>
      </c>
      <c r="B514" s="4" t="s">
        <v>1565</v>
      </c>
      <c r="C514" s="4" t="s">
        <v>20</v>
      </c>
      <c r="D514" s="4" t="s">
        <v>56</v>
      </c>
      <c r="E514" s="4" t="s">
        <v>1523</v>
      </c>
      <c r="F514" s="4" t="s">
        <v>24</v>
      </c>
      <c r="G514" s="4" t="s">
        <v>24</v>
      </c>
      <c r="H514" s="4" t="s">
        <v>200</v>
      </c>
      <c r="I514" s="4" t="s">
        <v>1508</v>
      </c>
      <c r="J514" s="4"/>
      <c r="K514" s="5">
        <v>44030</v>
      </c>
      <c r="L514" s="5">
        <v>44024</v>
      </c>
      <c r="M514" s="5">
        <v>44024</v>
      </c>
      <c r="N514" s="6">
        <f t="shared" si="35"/>
        <v>0</v>
      </c>
      <c r="O514" s="4" t="s">
        <v>762</v>
      </c>
      <c r="P514" s="4">
        <v>18000</v>
      </c>
      <c r="Q514" s="4"/>
      <c r="R514" s="4" t="str">
        <f t="shared" ref="R514:R577" si="36">TEXT(L514,"YYY")</f>
        <v>2020</v>
      </c>
      <c r="S514" s="4" t="str">
        <f t="shared" ref="S514:S577" si="37">TEXT(L514,"MMMM")</f>
        <v>July</v>
      </c>
      <c r="T514" s="4">
        <f t="shared" ref="T514:T577" si="38">P514</f>
        <v>18000</v>
      </c>
      <c r="U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row>
    <row r="515" spans="1:53" ht="19.95" customHeight="1">
      <c r="A515" s="4">
        <v>514</v>
      </c>
      <c r="B515" s="4" t="s">
        <v>1566</v>
      </c>
      <c r="C515" s="4" t="s">
        <v>20</v>
      </c>
      <c r="D515" s="4" t="s">
        <v>56</v>
      </c>
      <c r="E515" s="4" t="s">
        <v>1567</v>
      </c>
      <c r="F515" s="4" t="s">
        <v>23</v>
      </c>
      <c r="G515" s="4" t="s">
        <v>24</v>
      </c>
      <c r="H515" s="4" t="s">
        <v>25</v>
      </c>
      <c r="I515" s="4" t="s">
        <v>1568</v>
      </c>
      <c r="J515" s="4"/>
      <c r="K515" s="5">
        <v>44018</v>
      </c>
      <c r="L515" s="5">
        <v>44028</v>
      </c>
      <c r="M515" s="5">
        <v>44036</v>
      </c>
      <c r="N515" s="6">
        <f t="shared" si="35"/>
        <v>8</v>
      </c>
      <c r="O515" s="4" t="s">
        <v>28</v>
      </c>
      <c r="P515" s="4">
        <v>2264</v>
      </c>
      <c r="Q515" s="4"/>
      <c r="R515" s="4" t="str">
        <f t="shared" si="36"/>
        <v>2020</v>
      </c>
      <c r="S515" s="4" t="str">
        <f t="shared" si="37"/>
        <v>July</v>
      </c>
      <c r="T515" s="4">
        <f t="shared" si="38"/>
        <v>2264</v>
      </c>
      <c r="U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row>
    <row r="516" spans="1:53" ht="19.95" customHeight="1">
      <c r="A516" s="4">
        <v>515</v>
      </c>
      <c r="B516" s="4" t="s">
        <v>1569</v>
      </c>
      <c r="C516" s="4" t="s">
        <v>20</v>
      </c>
      <c r="D516" s="4"/>
      <c r="E516" s="4" t="s">
        <v>1523</v>
      </c>
      <c r="F516" s="4" t="s">
        <v>23</v>
      </c>
      <c r="G516" s="4" t="s">
        <v>24</v>
      </c>
      <c r="H516" s="4" t="s">
        <v>200</v>
      </c>
      <c r="I516" s="4" t="s">
        <v>1570</v>
      </c>
      <c r="J516" s="4" t="s">
        <v>1571</v>
      </c>
      <c r="K516" s="5">
        <v>43991</v>
      </c>
      <c r="L516" s="5">
        <v>43644</v>
      </c>
      <c r="M516" s="5">
        <v>43648</v>
      </c>
      <c r="N516" s="6">
        <f t="shared" si="35"/>
        <v>4</v>
      </c>
      <c r="O516" s="4" t="s">
        <v>762</v>
      </c>
      <c r="P516" s="4">
        <v>7000</v>
      </c>
      <c r="Q516" s="4"/>
      <c r="R516" s="4" t="str">
        <f t="shared" si="36"/>
        <v>2019</v>
      </c>
      <c r="S516" s="4" t="str">
        <f t="shared" si="37"/>
        <v>June</v>
      </c>
      <c r="T516" s="4">
        <f t="shared" si="38"/>
        <v>7000</v>
      </c>
      <c r="U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row>
    <row r="517" spans="1:53" ht="19.95" customHeight="1">
      <c r="A517" s="4">
        <v>516</v>
      </c>
      <c r="B517" s="4" t="s">
        <v>1572</v>
      </c>
      <c r="C517" s="4" t="s">
        <v>20</v>
      </c>
      <c r="D517" s="4"/>
      <c r="E517" s="4" t="s">
        <v>1523</v>
      </c>
      <c r="F517" s="4" t="s">
        <v>23</v>
      </c>
      <c r="G517" s="4" t="s">
        <v>24</v>
      </c>
      <c r="H517" s="4" t="s">
        <v>200</v>
      </c>
      <c r="I517" s="4" t="s">
        <v>1573</v>
      </c>
      <c r="J517" s="4"/>
      <c r="K517" s="5">
        <v>43991</v>
      </c>
      <c r="L517" s="5">
        <v>43755</v>
      </c>
      <c r="M517" s="5">
        <v>43755</v>
      </c>
      <c r="N517" s="6">
        <f t="shared" si="35"/>
        <v>0</v>
      </c>
      <c r="O517" s="4" t="s">
        <v>28</v>
      </c>
      <c r="P517" s="4">
        <v>20</v>
      </c>
      <c r="Q517" s="4"/>
      <c r="R517" s="4" t="str">
        <f t="shared" si="36"/>
        <v>2019</v>
      </c>
      <c r="S517" s="4" t="str">
        <f t="shared" si="37"/>
        <v>October</v>
      </c>
      <c r="T517" s="4">
        <f t="shared" si="38"/>
        <v>20</v>
      </c>
      <c r="U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row>
    <row r="518" spans="1:53" ht="19.95" customHeight="1">
      <c r="A518" s="4">
        <v>517</v>
      </c>
      <c r="B518" s="4" t="s">
        <v>1574</v>
      </c>
      <c r="C518" s="4" t="s">
        <v>20</v>
      </c>
      <c r="D518" s="4"/>
      <c r="E518" s="4" t="s">
        <v>1523</v>
      </c>
      <c r="F518" s="4" t="s">
        <v>23</v>
      </c>
      <c r="G518" s="4" t="s">
        <v>24</v>
      </c>
      <c r="H518" s="4" t="s">
        <v>200</v>
      </c>
      <c r="I518" s="4" t="s">
        <v>1575</v>
      </c>
      <c r="J518" s="4"/>
      <c r="K518" s="5">
        <v>43991</v>
      </c>
      <c r="L518" s="5">
        <v>43827</v>
      </c>
      <c r="M518" s="5">
        <v>43827</v>
      </c>
      <c r="N518" s="6">
        <f t="shared" si="35"/>
        <v>0</v>
      </c>
      <c r="O518" s="4" t="s">
        <v>762</v>
      </c>
      <c r="P518" s="4">
        <v>10000</v>
      </c>
      <c r="Q518" s="4"/>
      <c r="R518" s="4" t="str">
        <f t="shared" si="36"/>
        <v>2019</v>
      </c>
      <c r="S518" s="4" t="str">
        <f t="shared" si="37"/>
        <v>December</v>
      </c>
      <c r="T518" s="4">
        <f t="shared" si="38"/>
        <v>10000</v>
      </c>
      <c r="U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row>
    <row r="519" spans="1:53" ht="19.95" customHeight="1">
      <c r="A519" s="4">
        <v>518</v>
      </c>
      <c r="B519" s="4" t="s">
        <v>1576</v>
      </c>
      <c r="C519" s="4" t="s">
        <v>20</v>
      </c>
      <c r="D519" s="4"/>
      <c r="E519" s="4" t="s">
        <v>1523</v>
      </c>
      <c r="F519" s="4" t="s">
        <v>24</v>
      </c>
      <c r="G519" s="4" t="s">
        <v>24</v>
      </c>
      <c r="H519" s="4" t="s">
        <v>200</v>
      </c>
      <c r="I519" s="4" t="s">
        <v>1577</v>
      </c>
      <c r="J519" s="4" t="s">
        <v>1578</v>
      </c>
      <c r="K519" s="5">
        <v>43991</v>
      </c>
      <c r="L519" s="5">
        <v>43809</v>
      </c>
      <c r="M519" s="5">
        <v>43814</v>
      </c>
      <c r="N519" s="6">
        <f t="shared" si="35"/>
        <v>5</v>
      </c>
      <c r="O519" s="4" t="s">
        <v>762</v>
      </c>
      <c r="P519" s="4">
        <v>9500</v>
      </c>
      <c r="Q519" s="4"/>
      <c r="R519" s="4" t="str">
        <f t="shared" si="36"/>
        <v>2019</v>
      </c>
      <c r="S519" s="4" t="str">
        <f t="shared" si="37"/>
        <v>December</v>
      </c>
      <c r="T519" s="4">
        <f t="shared" si="38"/>
        <v>9500</v>
      </c>
      <c r="U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row>
    <row r="520" spans="1:53" ht="19.95" customHeight="1">
      <c r="A520" s="4">
        <v>519</v>
      </c>
      <c r="B520" s="4" t="s">
        <v>1579</v>
      </c>
      <c r="C520" s="4" t="s">
        <v>20</v>
      </c>
      <c r="D520" s="4"/>
      <c r="E520" s="4" t="s">
        <v>1523</v>
      </c>
      <c r="F520" s="4" t="s">
        <v>23</v>
      </c>
      <c r="G520" s="4" t="s">
        <v>24</v>
      </c>
      <c r="H520" s="4" t="s">
        <v>25</v>
      </c>
      <c r="I520" s="4" t="s">
        <v>1580</v>
      </c>
      <c r="J520" s="4" t="s">
        <v>1581</v>
      </c>
      <c r="K520" s="5">
        <v>43910</v>
      </c>
      <c r="L520" s="5">
        <v>43912</v>
      </c>
      <c r="M520" s="5">
        <v>43912</v>
      </c>
      <c r="N520" s="6">
        <f t="shared" si="35"/>
        <v>0</v>
      </c>
      <c r="O520" s="4" t="s">
        <v>28</v>
      </c>
      <c r="P520" s="4">
        <v>150</v>
      </c>
      <c r="Q520" s="4"/>
      <c r="R520" s="4" t="str">
        <f t="shared" si="36"/>
        <v>2020</v>
      </c>
      <c r="S520" s="4" t="str">
        <f t="shared" si="37"/>
        <v>March</v>
      </c>
      <c r="T520" s="4">
        <f t="shared" si="38"/>
        <v>150</v>
      </c>
      <c r="U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row>
    <row r="521" spans="1:53" ht="19.95" customHeight="1">
      <c r="A521" s="4">
        <v>520</v>
      </c>
      <c r="B521" s="4" t="s">
        <v>1582</v>
      </c>
      <c r="C521" s="4" t="s">
        <v>20</v>
      </c>
      <c r="D521" s="4"/>
      <c r="E521" s="4" t="s">
        <v>1523</v>
      </c>
      <c r="F521" s="4" t="s">
        <v>23</v>
      </c>
      <c r="G521" s="4" t="s">
        <v>24</v>
      </c>
      <c r="H521" s="4" t="s">
        <v>25</v>
      </c>
      <c r="I521" s="4" t="s">
        <v>1583</v>
      </c>
      <c r="J521" s="4" t="s">
        <v>1581</v>
      </c>
      <c r="K521" s="5">
        <v>43910</v>
      </c>
      <c r="L521" s="5">
        <v>43911</v>
      </c>
      <c r="M521" s="5">
        <v>43911</v>
      </c>
      <c r="N521" s="6">
        <f t="shared" si="35"/>
        <v>0</v>
      </c>
      <c r="O521" s="4" t="s">
        <v>28</v>
      </c>
      <c r="P521" s="4">
        <v>150</v>
      </c>
      <c r="Q521" s="4"/>
      <c r="R521" s="4" t="str">
        <f t="shared" si="36"/>
        <v>2020</v>
      </c>
      <c r="S521" s="4" t="str">
        <f t="shared" si="37"/>
        <v>March</v>
      </c>
      <c r="T521" s="4">
        <f t="shared" si="38"/>
        <v>150</v>
      </c>
      <c r="U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row>
    <row r="522" spans="1:53" ht="19.95" customHeight="1">
      <c r="A522" s="4">
        <v>521</v>
      </c>
      <c r="B522" s="4" t="s">
        <v>1584</v>
      </c>
      <c r="C522" s="4" t="s">
        <v>20</v>
      </c>
      <c r="D522" s="4"/>
      <c r="E522" s="4" t="s">
        <v>1523</v>
      </c>
      <c r="F522" s="4" t="s">
        <v>23</v>
      </c>
      <c r="G522" s="4" t="s">
        <v>24</v>
      </c>
      <c r="H522" s="4" t="s">
        <v>25</v>
      </c>
      <c r="I522" s="4" t="s">
        <v>1585</v>
      </c>
      <c r="J522" s="4" t="s">
        <v>1586</v>
      </c>
      <c r="K522" s="5">
        <v>43903</v>
      </c>
      <c r="L522" s="5">
        <v>43904</v>
      </c>
      <c r="M522" s="5">
        <v>43912</v>
      </c>
      <c r="N522" s="6">
        <f t="shared" si="35"/>
        <v>8</v>
      </c>
      <c r="O522" s="4" t="s">
        <v>28</v>
      </c>
      <c r="P522" s="4">
        <v>370</v>
      </c>
      <c r="Q522" s="4"/>
      <c r="R522" s="4" t="str">
        <f t="shared" si="36"/>
        <v>2020</v>
      </c>
      <c r="S522" s="4" t="str">
        <f t="shared" si="37"/>
        <v>March</v>
      </c>
      <c r="T522" s="4">
        <f t="shared" si="38"/>
        <v>370</v>
      </c>
      <c r="U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row>
    <row r="523" spans="1:53" ht="19.95" customHeight="1">
      <c r="A523" s="4">
        <v>522</v>
      </c>
      <c r="B523" s="4" t="s">
        <v>1587</v>
      </c>
      <c r="C523" s="4" t="s">
        <v>20</v>
      </c>
      <c r="D523" s="4"/>
      <c r="E523" s="4" t="s">
        <v>1567</v>
      </c>
      <c r="F523" s="4" t="s">
        <v>23</v>
      </c>
      <c r="G523" s="4" t="s">
        <v>24</v>
      </c>
      <c r="H523" s="4" t="s">
        <v>25</v>
      </c>
      <c r="I523" s="4" t="s">
        <v>1588</v>
      </c>
      <c r="J523" s="4" t="s">
        <v>1589</v>
      </c>
      <c r="K523" s="5">
        <v>43900</v>
      </c>
      <c r="L523" s="5">
        <v>43906</v>
      </c>
      <c r="M523" s="5">
        <v>43916</v>
      </c>
      <c r="N523" s="6">
        <f t="shared" si="35"/>
        <v>10</v>
      </c>
      <c r="O523" s="4" t="s">
        <v>28</v>
      </c>
      <c r="P523" s="4">
        <v>2240.1</v>
      </c>
      <c r="Q523" s="4"/>
      <c r="R523" s="4" t="str">
        <f t="shared" si="36"/>
        <v>2020</v>
      </c>
      <c r="S523" s="4" t="str">
        <f t="shared" si="37"/>
        <v>March</v>
      </c>
      <c r="T523" s="4">
        <f t="shared" si="38"/>
        <v>2240.1</v>
      </c>
      <c r="U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row>
    <row r="524" spans="1:53" ht="19.95" customHeight="1">
      <c r="A524" s="4">
        <v>523</v>
      </c>
      <c r="B524" s="4" t="s">
        <v>1590</v>
      </c>
      <c r="C524" s="4" t="s">
        <v>20</v>
      </c>
      <c r="D524" s="4"/>
      <c r="E524" s="4" t="s">
        <v>614</v>
      </c>
      <c r="F524" s="4" t="s">
        <v>24</v>
      </c>
      <c r="G524" s="4" t="s">
        <v>24</v>
      </c>
      <c r="H524" s="4" t="s">
        <v>200</v>
      </c>
      <c r="I524" s="4" t="s">
        <v>1591</v>
      </c>
      <c r="J524" s="4" t="s">
        <v>1592</v>
      </c>
      <c r="K524" s="5">
        <v>43896</v>
      </c>
      <c r="L524" s="5">
        <v>43913</v>
      </c>
      <c r="M524" s="5">
        <v>43913</v>
      </c>
      <c r="N524" s="6">
        <f t="shared" si="35"/>
        <v>0</v>
      </c>
      <c r="O524" s="4" t="s">
        <v>28</v>
      </c>
      <c r="P524" s="4">
        <v>88</v>
      </c>
      <c r="Q524" s="4"/>
      <c r="R524" s="4" t="str">
        <f t="shared" si="36"/>
        <v>2020</v>
      </c>
      <c r="S524" s="4" t="str">
        <f t="shared" si="37"/>
        <v>March</v>
      </c>
      <c r="T524" s="4">
        <f t="shared" si="38"/>
        <v>88</v>
      </c>
      <c r="U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row>
    <row r="525" spans="1:53" ht="19.95" customHeight="1">
      <c r="A525" s="4">
        <v>524</v>
      </c>
      <c r="B525" s="4" t="s">
        <v>1593</v>
      </c>
      <c r="C525" s="4" t="s">
        <v>20</v>
      </c>
      <c r="D525" s="4"/>
      <c r="E525" s="4" t="s">
        <v>1594</v>
      </c>
      <c r="F525" s="4" t="s">
        <v>23</v>
      </c>
      <c r="G525" s="4" t="s">
        <v>24</v>
      </c>
      <c r="H525" s="4" t="s">
        <v>25</v>
      </c>
      <c r="I525" s="4" t="s">
        <v>1595</v>
      </c>
      <c r="J525" s="4"/>
      <c r="K525" s="5">
        <v>43893</v>
      </c>
      <c r="L525" s="5">
        <v>43901</v>
      </c>
      <c r="M525" s="5">
        <v>43922</v>
      </c>
      <c r="N525" s="6">
        <f t="shared" si="35"/>
        <v>21</v>
      </c>
      <c r="O525" s="4" t="s">
        <v>28</v>
      </c>
      <c r="P525" s="4">
        <v>399.78</v>
      </c>
      <c r="Q525" s="4"/>
      <c r="R525" s="4" t="str">
        <f t="shared" si="36"/>
        <v>2020</v>
      </c>
      <c r="S525" s="4" t="str">
        <f t="shared" si="37"/>
        <v>March</v>
      </c>
      <c r="T525" s="4">
        <f t="shared" si="38"/>
        <v>399.78</v>
      </c>
      <c r="U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row>
    <row r="526" spans="1:53" ht="19.95" customHeight="1">
      <c r="A526" s="4">
        <v>525</v>
      </c>
      <c r="B526" s="4" t="s">
        <v>1596</v>
      </c>
      <c r="C526" s="4" t="s">
        <v>20</v>
      </c>
      <c r="D526" s="4"/>
      <c r="E526" s="4" t="s">
        <v>1523</v>
      </c>
      <c r="F526" s="4" t="s">
        <v>23</v>
      </c>
      <c r="G526" s="4" t="s">
        <v>24</v>
      </c>
      <c r="H526" s="4" t="s">
        <v>200</v>
      </c>
      <c r="I526" s="4" t="s">
        <v>1597</v>
      </c>
      <c r="J526" s="4" t="s">
        <v>1598</v>
      </c>
      <c r="K526" s="5">
        <v>43893</v>
      </c>
      <c r="L526" s="5">
        <v>43896</v>
      </c>
      <c r="M526" s="5">
        <v>43896</v>
      </c>
      <c r="N526" s="6">
        <f t="shared" si="35"/>
        <v>0</v>
      </c>
      <c r="O526" s="4" t="s">
        <v>28</v>
      </c>
      <c r="P526" s="4">
        <v>0</v>
      </c>
      <c r="Q526" s="4"/>
      <c r="R526" s="4" t="str">
        <f t="shared" si="36"/>
        <v>2020</v>
      </c>
      <c r="S526" s="4" t="str">
        <f t="shared" si="37"/>
        <v>March</v>
      </c>
      <c r="T526" s="4">
        <f t="shared" si="38"/>
        <v>0</v>
      </c>
      <c r="U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row>
    <row r="527" spans="1:53" ht="19.95" customHeight="1">
      <c r="A527" s="4">
        <v>526</v>
      </c>
      <c r="B527" s="4" t="s">
        <v>1599</v>
      </c>
      <c r="C527" s="4" t="s">
        <v>20</v>
      </c>
      <c r="D527" s="4"/>
      <c r="E527" s="4" t="s">
        <v>1523</v>
      </c>
      <c r="F527" s="4" t="s">
        <v>223</v>
      </c>
      <c r="G527" s="4" t="s">
        <v>24</v>
      </c>
      <c r="H527" s="4" t="s">
        <v>224</v>
      </c>
      <c r="I527" s="4" t="s">
        <v>1600</v>
      </c>
      <c r="J527" s="4" t="s">
        <v>1601</v>
      </c>
      <c r="K527" s="5">
        <v>43887</v>
      </c>
      <c r="L527" s="5">
        <v>43888</v>
      </c>
      <c r="M527" s="5">
        <v>43892</v>
      </c>
      <c r="N527" s="6">
        <f t="shared" si="35"/>
        <v>4</v>
      </c>
      <c r="O527" s="4" t="s">
        <v>28</v>
      </c>
      <c r="P527" s="4">
        <v>225</v>
      </c>
      <c r="Q527" s="4"/>
      <c r="R527" s="4" t="str">
        <f t="shared" si="36"/>
        <v>2020</v>
      </c>
      <c r="S527" s="4" t="str">
        <f t="shared" si="37"/>
        <v>February</v>
      </c>
      <c r="T527" s="4">
        <f t="shared" si="38"/>
        <v>225</v>
      </c>
      <c r="U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row>
    <row r="528" spans="1:53" ht="19.95" customHeight="1">
      <c r="A528" s="4">
        <v>527</v>
      </c>
      <c r="B528" s="4" t="s">
        <v>1602</v>
      </c>
      <c r="C528" s="4" t="s">
        <v>20</v>
      </c>
      <c r="D528" s="4"/>
      <c r="E528" s="4" t="s">
        <v>614</v>
      </c>
      <c r="F528" s="4" t="s">
        <v>904</v>
      </c>
      <c r="G528" s="4" t="s">
        <v>24</v>
      </c>
      <c r="H528" s="4" t="s">
        <v>905</v>
      </c>
      <c r="I528" s="4" t="s">
        <v>1603</v>
      </c>
      <c r="J528" s="4" t="s">
        <v>1604</v>
      </c>
      <c r="K528" s="5">
        <v>43885</v>
      </c>
      <c r="L528" s="5">
        <v>43903</v>
      </c>
      <c r="M528" s="5">
        <v>43909</v>
      </c>
      <c r="N528" s="6">
        <f t="shared" si="35"/>
        <v>6</v>
      </c>
      <c r="O528" s="4" t="s">
        <v>28</v>
      </c>
      <c r="P528" s="4">
        <v>5</v>
      </c>
      <c r="Q528" s="4"/>
      <c r="R528" s="4" t="str">
        <f t="shared" si="36"/>
        <v>2020</v>
      </c>
      <c r="S528" s="4" t="str">
        <f t="shared" si="37"/>
        <v>March</v>
      </c>
      <c r="T528" s="4">
        <f t="shared" si="38"/>
        <v>5</v>
      </c>
      <c r="U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row>
    <row r="529" spans="1:53" ht="19.95" customHeight="1">
      <c r="A529" s="4">
        <v>528</v>
      </c>
      <c r="B529" s="4" t="s">
        <v>1605</v>
      </c>
      <c r="C529" s="4" t="s">
        <v>20</v>
      </c>
      <c r="D529" s="4"/>
      <c r="E529" s="4" t="s">
        <v>614</v>
      </c>
      <c r="F529" s="4" t="s">
        <v>23</v>
      </c>
      <c r="G529" s="4" t="s">
        <v>24</v>
      </c>
      <c r="H529" s="4" t="s">
        <v>25</v>
      </c>
      <c r="I529" s="4" t="s">
        <v>1606</v>
      </c>
      <c r="J529" s="4" t="s">
        <v>1607</v>
      </c>
      <c r="K529" s="5">
        <v>43880</v>
      </c>
      <c r="L529" s="5">
        <v>43890</v>
      </c>
      <c r="M529" s="5">
        <v>43897</v>
      </c>
      <c r="N529" s="6">
        <f t="shared" si="35"/>
        <v>7</v>
      </c>
      <c r="O529" s="4" t="s">
        <v>334</v>
      </c>
      <c r="P529" s="4">
        <v>1475.31</v>
      </c>
      <c r="Q529" s="4"/>
      <c r="R529" s="4" t="str">
        <f t="shared" si="36"/>
        <v>2020</v>
      </c>
      <c r="S529" s="4" t="str">
        <f t="shared" si="37"/>
        <v>February</v>
      </c>
      <c r="T529" s="4">
        <f t="shared" si="38"/>
        <v>1475.31</v>
      </c>
      <c r="U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row>
    <row r="530" spans="1:53" ht="19.95" customHeight="1">
      <c r="A530" s="4">
        <v>529</v>
      </c>
      <c r="B530" s="4" t="s">
        <v>1608</v>
      </c>
      <c r="C530" s="4" t="s">
        <v>20</v>
      </c>
      <c r="D530" s="4"/>
      <c r="E530" s="4" t="s">
        <v>614</v>
      </c>
      <c r="F530" s="4" t="s">
        <v>128</v>
      </c>
      <c r="G530" s="4" t="s">
        <v>24</v>
      </c>
      <c r="H530" s="4" t="s">
        <v>129</v>
      </c>
      <c r="I530" s="4" t="s">
        <v>1609</v>
      </c>
      <c r="J530" s="4" t="s">
        <v>1610</v>
      </c>
      <c r="K530" s="5">
        <v>43874</v>
      </c>
      <c r="L530" s="5">
        <v>43880</v>
      </c>
      <c r="M530" s="5">
        <v>43896</v>
      </c>
      <c r="N530" s="6">
        <f t="shared" si="35"/>
        <v>16</v>
      </c>
      <c r="O530" s="4" t="s">
        <v>28</v>
      </c>
      <c r="P530" s="4">
        <v>4899.01</v>
      </c>
      <c r="Q530" s="4"/>
      <c r="R530" s="4" t="str">
        <f t="shared" si="36"/>
        <v>2020</v>
      </c>
      <c r="S530" s="4" t="str">
        <f t="shared" si="37"/>
        <v>February</v>
      </c>
      <c r="T530" s="4">
        <f t="shared" si="38"/>
        <v>4899.01</v>
      </c>
      <c r="U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row>
    <row r="531" spans="1:53" ht="19.95" customHeight="1">
      <c r="A531" s="4">
        <v>530</v>
      </c>
      <c r="B531" s="4" t="s">
        <v>1611</v>
      </c>
      <c r="C531" s="4" t="s">
        <v>20</v>
      </c>
      <c r="D531" s="4"/>
      <c r="E531" s="4" t="s">
        <v>1523</v>
      </c>
      <c r="F531" s="4" t="s">
        <v>23</v>
      </c>
      <c r="G531" s="4" t="s">
        <v>24</v>
      </c>
      <c r="H531" s="4" t="s">
        <v>25</v>
      </c>
      <c r="I531" s="4" t="s">
        <v>1612</v>
      </c>
      <c r="J531" s="4" t="s">
        <v>1613</v>
      </c>
      <c r="K531" s="5">
        <v>43864</v>
      </c>
      <c r="L531" s="5">
        <v>43866</v>
      </c>
      <c r="M531" s="5">
        <v>43873</v>
      </c>
      <c r="N531" s="6">
        <f t="shared" si="35"/>
        <v>7</v>
      </c>
      <c r="O531" s="4" t="s">
        <v>28</v>
      </c>
      <c r="P531" s="4">
        <v>360</v>
      </c>
      <c r="Q531" s="4"/>
      <c r="R531" s="4" t="str">
        <f t="shared" si="36"/>
        <v>2020</v>
      </c>
      <c r="S531" s="4" t="str">
        <f t="shared" si="37"/>
        <v>February</v>
      </c>
      <c r="T531" s="4">
        <f t="shared" si="38"/>
        <v>360</v>
      </c>
      <c r="U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row>
    <row r="532" spans="1:53" ht="19.95" customHeight="1">
      <c r="A532" s="4">
        <v>531</v>
      </c>
      <c r="B532" s="4" t="s">
        <v>1614</v>
      </c>
      <c r="C532" s="4" t="s">
        <v>65</v>
      </c>
      <c r="D532" s="4"/>
      <c r="E532" s="4" t="s">
        <v>455</v>
      </c>
      <c r="F532" s="4" t="s">
        <v>23</v>
      </c>
      <c r="G532" s="4" t="s">
        <v>24</v>
      </c>
      <c r="H532" s="4" t="s">
        <v>25</v>
      </c>
      <c r="I532" s="4" t="s">
        <v>1615</v>
      </c>
      <c r="J532" s="4" t="s">
        <v>1616</v>
      </c>
      <c r="K532" s="5">
        <v>43860</v>
      </c>
      <c r="L532" s="5">
        <v>43869</v>
      </c>
      <c r="M532" s="5">
        <v>43878</v>
      </c>
      <c r="N532" s="6">
        <f t="shared" si="35"/>
        <v>9</v>
      </c>
      <c r="O532" s="4" t="s">
        <v>28</v>
      </c>
      <c r="P532" s="4">
        <v>3189.1</v>
      </c>
      <c r="Q532" s="4"/>
      <c r="R532" s="4" t="str">
        <f t="shared" si="36"/>
        <v>2020</v>
      </c>
      <c r="S532" s="4" t="str">
        <f t="shared" si="37"/>
        <v>February</v>
      </c>
      <c r="T532" s="4">
        <f t="shared" si="38"/>
        <v>3189.1</v>
      </c>
      <c r="U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row>
    <row r="533" spans="1:53" ht="19.95" customHeight="1">
      <c r="A533" s="4">
        <v>532</v>
      </c>
      <c r="B533" s="4" t="s">
        <v>1617</v>
      </c>
      <c r="C533" s="4" t="s">
        <v>20</v>
      </c>
      <c r="D533" s="4"/>
      <c r="E533" s="4" t="s">
        <v>1618</v>
      </c>
      <c r="F533" s="4" t="s">
        <v>23</v>
      </c>
      <c r="G533" s="4" t="s">
        <v>24</v>
      </c>
      <c r="H533" s="4" t="s">
        <v>25</v>
      </c>
      <c r="I533" s="4" t="s">
        <v>1619</v>
      </c>
      <c r="J533" s="4" t="s">
        <v>1620</v>
      </c>
      <c r="K533" s="5">
        <v>43860</v>
      </c>
      <c r="L533" s="5">
        <v>43894</v>
      </c>
      <c r="M533" s="5">
        <v>43905</v>
      </c>
      <c r="N533" s="6">
        <f t="shared" si="35"/>
        <v>11</v>
      </c>
      <c r="O533" s="4" t="s">
        <v>28</v>
      </c>
      <c r="P533" s="4">
        <v>4459</v>
      </c>
      <c r="Q533" s="4"/>
      <c r="R533" s="4" t="str">
        <f t="shared" si="36"/>
        <v>2020</v>
      </c>
      <c r="S533" s="4" t="str">
        <f t="shared" si="37"/>
        <v>March</v>
      </c>
      <c r="T533" s="4">
        <f t="shared" si="38"/>
        <v>4459</v>
      </c>
      <c r="U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row>
    <row r="534" spans="1:53" ht="19.95" customHeight="1">
      <c r="A534" s="4">
        <v>533</v>
      </c>
      <c r="B534" s="4" t="s">
        <v>1621</v>
      </c>
      <c r="C534" s="4" t="s">
        <v>20</v>
      </c>
      <c r="D534" s="4"/>
      <c r="E534" s="4" t="s">
        <v>1434</v>
      </c>
      <c r="F534" s="4" t="s">
        <v>23</v>
      </c>
      <c r="G534" s="4" t="s">
        <v>24</v>
      </c>
      <c r="H534" s="4" t="s">
        <v>25</v>
      </c>
      <c r="I534" s="4" t="s">
        <v>1622</v>
      </c>
      <c r="J534" s="4" t="s">
        <v>1623</v>
      </c>
      <c r="K534" s="5">
        <v>43858</v>
      </c>
      <c r="L534" s="5">
        <v>43957</v>
      </c>
      <c r="M534" s="5">
        <v>43970</v>
      </c>
      <c r="N534" s="6">
        <f t="shared" si="35"/>
        <v>13</v>
      </c>
      <c r="O534" s="4" t="s">
        <v>28</v>
      </c>
      <c r="P534" s="4">
        <v>550</v>
      </c>
      <c r="Q534" s="4"/>
      <c r="R534" s="4" t="str">
        <f t="shared" si="36"/>
        <v>2020</v>
      </c>
      <c r="S534" s="4" t="str">
        <f t="shared" si="37"/>
        <v>May</v>
      </c>
      <c r="T534" s="4">
        <f t="shared" si="38"/>
        <v>550</v>
      </c>
      <c r="U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row>
    <row r="535" spans="1:53" ht="19.95" customHeight="1">
      <c r="A535" s="4">
        <v>534</v>
      </c>
      <c r="B535" s="4" t="s">
        <v>1624</v>
      </c>
      <c r="C535" s="4" t="s">
        <v>20</v>
      </c>
      <c r="D535" s="4"/>
      <c r="E535" s="4" t="s">
        <v>1625</v>
      </c>
      <c r="F535" s="4" t="s">
        <v>24</v>
      </c>
      <c r="G535" s="4" t="s">
        <v>24</v>
      </c>
      <c r="H535" s="4" t="s">
        <v>25</v>
      </c>
      <c r="I535" s="4" t="s">
        <v>1626</v>
      </c>
      <c r="J535" s="4" t="s">
        <v>1627</v>
      </c>
      <c r="K535" s="5">
        <v>43855</v>
      </c>
      <c r="L535" s="5">
        <v>43857</v>
      </c>
      <c r="M535" s="5">
        <v>43859</v>
      </c>
      <c r="N535" s="6">
        <f t="shared" si="35"/>
        <v>2</v>
      </c>
      <c r="O535" s="4" t="s">
        <v>28</v>
      </c>
      <c r="P535" s="4">
        <v>214.98</v>
      </c>
      <c r="Q535" s="4"/>
      <c r="R535" s="4" t="str">
        <f t="shared" si="36"/>
        <v>2020</v>
      </c>
      <c r="S535" s="4" t="str">
        <f t="shared" si="37"/>
        <v>January</v>
      </c>
      <c r="T535" s="4">
        <f t="shared" si="38"/>
        <v>214.98</v>
      </c>
      <c r="U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row>
    <row r="536" spans="1:53" ht="19.95" customHeight="1">
      <c r="A536" s="4">
        <v>535</v>
      </c>
      <c r="B536" s="4" t="s">
        <v>1628</v>
      </c>
      <c r="C536" s="4" t="s">
        <v>20</v>
      </c>
      <c r="D536" s="4"/>
      <c r="E536" s="4" t="s">
        <v>1594</v>
      </c>
      <c r="F536" s="4" t="s">
        <v>23</v>
      </c>
      <c r="G536" s="4" t="s">
        <v>24</v>
      </c>
      <c r="H536" s="4" t="s">
        <v>25</v>
      </c>
      <c r="I536" s="4" t="s">
        <v>1629</v>
      </c>
      <c r="J536" s="4"/>
      <c r="K536" s="5">
        <v>43855</v>
      </c>
      <c r="L536" s="5">
        <v>43886</v>
      </c>
      <c r="M536" s="5">
        <v>43898</v>
      </c>
      <c r="N536" s="6">
        <f t="shared" si="35"/>
        <v>12</v>
      </c>
      <c r="O536" s="4" t="s">
        <v>28</v>
      </c>
      <c r="P536" s="4">
        <v>5147.08</v>
      </c>
      <c r="Q536" s="4"/>
      <c r="R536" s="4" t="str">
        <f t="shared" si="36"/>
        <v>2020</v>
      </c>
      <c r="S536" s="4" t="str">
        <f t="shared" si="37"/>
        <v>February</v>
      </c>
      <c r="T536" s="4">
        <f t="shared" si="38"/>
        <v>5147.08</v>
      </c>
      <c r="U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row>
    <row r="537" spans="1:53" ht="19.95" customHeight="1">
      <c r="A537" s="4">
        <v>536</v>
      </c>
      <c r="B537" s="4" t="s">
        <v>1630</v>
      </c>
      <c r="C537" s="4" t="s">
        <v>20</v>
      </c>
      <c r="D537" s="4"/>
      <c r="E537" s="4" t="s">
        <v>1523</v>
      </c>
      <c r="F537" s="4" t="s">
        <v>116</v>
      </c>
      <c r="G537" s="4" t="s">
        <v>24</v>
      </c>
      <c r="H537" s="4" t="s">
        <v>117</v>
      </c>
      <c r="I537" s="4" t="s">
        <v>1631</v>
      </c>
      <c r="J537" s="4" t="s">
        <v>1632</v>
      </c>
      <c r="K537" s="5">
        <v>43854</v>
      </c>
      <c r="L537" s="5">
        <v>43867</v>
      </c>
      <c r="M537" s="5">
        <v>43875</v>
      </c>
      <c r="N537" s="6">
        <f t="shared" si="35"/>
        <v>8</v>
      </c>
      <c r="O537" s="4" t="s">
        <v>28</v>
      </c>
      <c r="P537" s="4">
        <v>423</v>
      </c>
      <c r="Q537" s="4"/>
      <c r="R537" s="4" t="str">
        <f t="shared" si="36"/>
        <v>2020</v>
      </c>
      <c r="S537" s="4" t="str">
        <f t="shared" si="37"/>
        <v>February</v>
      </c>
      <c r="T537" s="4">
        <f t="shared" si="38"/>
        <v>423</v>
      </c>
      <c r="U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row>
    <row r="538" spans="1:53" ht="19.95" customHeight="1">
      <c r="A538" s="4">
        <v>537</v>
      </c>
      <c r="B538" s="4" t="s">
        <v>1633</v>
      </c>
      <c r="C538" s="4" t="s">
        <v>20</v>
      </c>
      <c r="D538" s="4"/>
      <c r="E538" s="4" t="s">
        <v>1625</v>
      </c>
      <c r="F538" s="4" t="s">
        <v>210</v>
      </c>
      <c r="G538" s="4" t="s">
        <v>24</v>
      </c>
      <c r="H538" s="4" t="s">
        <v>1115</v>
      </c>
      <c r="I538" s="4" t="s">
        <v>1634</v>
      </c>
      <c r="J538" s="4" t="s">
        <v>1635</v>
      </c>
      <c r="K538" s="5">
        <v>43854</v>
      </c>
      <c r="L538" s="5">
        <v>43859</v>
      </c>
      <c r="M538" s="5">
        <v>43875</v>
      </c>
      <c r="N538" s="6">
        <f t="shared" si="35"/>
        <v>16</v>
      </c>
      <c r="O538" s="4" t="s">
        <v>28</v>
      </c>
      <c r="P538" s="4">
        <v>474.96</v>
      </c>
      <c r="Q538" s="4"/>
      <c r="R538" s="4" t="str">
        <f t="shared" si="36"/>
        <v>2020</v>
      </c>
      <c r="S538" s="4" t="str">
        <f t="shared" si="37"/>
        <v>January</v>
      </c>
      <c r="T538" s="4">
        <f t="shared" si="38"/>
        <v>474.96</v>
      </c>
      <c r="U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row>
    <row r="539" spans="1:53" ht="19.95" customHeight="1">
      <c r="A539" s="4">
        <v>538</v>
      </c>
      <c r="B539" s="4" t="s">
        <v>1636</v>
      </c>
      <c r="C539" s="4" t="s">
        <v>20</v>
      </c>
      <c r="D539" s="4"/>
      <c r="E539" s="4" t="s">
        <v>1594</v>
      </c>
      <c r="F539" s="4" t="s">
        <v>24</v>
      </c>
      <c r="G539" s="4" t="s">
        <v>24</v>
      </c>
      <c r="H539" s="4" t="s">
        <v>129</v>
      </c>
      <c r="I539" s="4" t="s">
        <v>1637</v>
      </c>
      <c r="J539" s="4" t="s">
        <v>1638</v>
      </c>
      <c r="K539" s="5">
        <v>43853</v>
      </c>
      <c r="L539" s="5">
        <v>43854</v>
      </c>
      <c r="M539" s="5">
        <v>43861</v>
      </c>
      <c r="N539" s="6">
        <f t="shared" si="35"/>
        <v>7</v>
      </c>
      <c r="O539" s="4" t="s">
        <v>28</v>
      </c>
      <c r="P539" s="4">
        <v>869.61</v>
      </c>
      <c r="Q539" s="4"/>
      <c r="R539" s="4" t="str">
        <f t="shared" si="36"/>
        <v>2020</v>
      </c>
      <c r="S539" s="4" t="str">
        <f t="shared" si="37"/>
        <v>January</v>
      </c>
      <c r="T539" s="4">
        <f t="shared" si="38"/>
        <v>869.61</v>
      </c>
      <c r="U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row>
    <row r="540" spans="1:53" ht="19.95" customHeight="1">
      <c r="A540" s="4">
        <v>539</v>
      </c>
      <c r="B540" s="4" t="s">
        <v>1639</v>
      </c>
      <c r="C540" s="4" t="s">
        <v>65</v>
      </c>
      <c r="D540" s="4"/>
      <c r="E540" s="4" t="s">
        <v>1434</v>
      </c>
      <c r="F540" s="4" t="s">
        <v>43</v>
      </c>
      <c r="G540" s="4" t="s">
        <v>24</v>
      </c>
      <c r="H540" s="4" t="s">
        <v>44</v>
      </c>
      <c r="I540" s="4" t="s">
        <v>1640</v>
      </c>
      <c r="J540" s="4" t="s">
        <v>1641</v>
      </c>
      <c r="K540" s="5">
        <v>43852</v>
      </c>
      <c r="L540" s="5">
        <v>43882</v>
      </c>
      <c r="M540" s="5">
        <v>43891</v>
      </c>
      <c r="N540" s="6">
        <f t="shared" ref="N540:N603" si="39">M540-L540</f>
        <v>9</v>
      </c>
      <c r="O540" s="4" t="s">
        <v>28</v>
      </c>
      <c r="P540" s="4">
        <v>4541.32</v>
      </c>
      <c r="Q540" s="4"/>
      <c r="R540" s="4" t="str">
        <f t="shared" si="36"/>
        <v>2020</v>
      </c>
      <c r="S540" s="4" t="str">
        <f t="shared" si="37"/>
        <v>February</v>
      </c>
      <c r="T540" s="4">
        <f t="shared" si="38"/>
        <v>4541.32</v>
      </c>
      <c r="U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row>
    <row r="541" spans="1:53" ht="19.95" customHeight="1">
      <c r="A541" s="4">
        <v>540</v>
      </c>
      <c r="B541" s="4" t="s">
        <v>1642</v>
      </c>
      <c r="C541" s="4" t="s">
        <v>20</v>
      </c>
      <c r="D541" s="4"/>
      <c r="E541" s="4" t="s">
        <v>1523</v>
      </c>
      <c r="F541" s="4" t="s">
        <v>23</v>
      </c>
      <c r="G541" s="4" t="s">
        <v>24</v>
      </c>
      <c r="H541" s="4" t="s">
        <v>25</v>
      </c>
      <c r="I541" s="4" t="s">
        <v>1643</v>
      </c>
      <c r="J541" s="4" t="s">
        <v>1644</v>
      </c>
      <c r="K541" s="5">
        <v>43850</v>
      </c>
      <c r="L541" s="5">
        <v>43862</v>
      </c>
      <c r="M541" s="5">
        <v>43864</v>
      </c>
      <c r="N541" s="6">
        <f t="shared" si="39"/>
        <v>2</v>
      </c>
      <c r="O541" s="4" t="s">
        <v>28</v>
      </c>
      <c r="P541" s="4">
        <v>135</v>
      </c>
      <c r="Q541" s="4"/>
      <c r="R541" s="4" t="str">
        <f t="shared" si="36"/>
        <v>2020</v>
      </c>
      <c r="S541" s="4" t="str">
        <f t="shared" si="37"/>
        <v>February</v>
      </c>
      <c r="T541" s="4">
        <f t="shared" si="38"/>
        <v>135</v>
      </c>
      <c r="U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row>
    <row r="542" spans="1:53" ht="19.95" customHeight="1">
      <c r="A542" s="4">
        <v>541</v>
      </c>
      <c r="B542" s="4" t="s">
        <v>1645</v>
      </c>
      <c r="C542" s="4" t="s">
        <v>20</v>
      </c>
      <c r="D542" s="4"/>
      <c r="E542" s="4" t="s">
        <v>614</v>
      </c>
      <c r="F542" s="4" t="s">
        <v>23</v>
      </c>
      <c r="G542" s="4" t="s">
        <v>24</v>
      </c>
      <c r="H542" s="4" t="s">
        <v>25</v>
      </c>
      <c r="I542" s="4" t="s">
        <v>1646</v>
      </c>
      <c r="J542" s="4" t="s">
        <v>1647</v>
      </c>
      <c r="K542" s="5">
        <v>43847</v>
      </c>
      <c r="L542" s="5">
        <v>43893</v>
      </c>
      <c r="M542" s="5">
        <v>43910</v>
      </c>
      <c r="N542" s="6">
        <f t="shared" si="39"/>
        <v>17</v>
      </c>
      <c r="O542" s="4" t="s">
        <v>334</v>
      </c>
      <c r="P542" s="4">
        <v>3028.39</v>
      </c>
      <c r="Q542" s="4"/>
      <c r="R542" s="4" t="str">
        <f t="shared" si="36"/>
        <v>2020</v>
      </c>
      <c r="S542" s="4" t="str">
        <f t="shared" si="37"/>
        <v>March</v>
      </c>
      <c r="T542" s="4">
        <f t="shared" si="38"/>
        <v>3028.39</v>
      </c>
      <c r="U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row>
    <row r="543" spans="1:53" ht="19.95" customHeight="1">
      <c r="A543" s="4">
        <v>542</v>
      </c>
      <c r="B543" s="4" t="s">
        <v>1648</v>
      </c>
      <c r="C543" s="4" t="s">
        <v>65</v>
      </c>
      <c r="D543" s="4"/>
      <c r="E543" s="4" t="s">
        <v>1649</v>
      </c>
      <c r="F543" s="4" t="s">
        <v>43</v>
      </c>
      <c r="G543" s="4" t="s">
        <v>24</v>
      </c>
      <c r="H543" s="4" t="s">
        <v>44</v>
      </c>
      <c r="I543" s="4" t="s">
        <v>1650</v>
      </c>
      <c r="J543" s="4" t="s">
        <v>1651</v>
      </c>
      <c r="K543" s="5">
        <v>43846</v>
      </c>
      <c r="L543" s="5">
        <v>43874</v>
      </c>
      <c r="M543" s="5">
        <v>43878</v>
      </c>
      <c r="N543" s="6">
        <f t="shared" si="39"/>
        <v>4</v>
      </c>
      <c r="O543" s="4" t="s">
        <v>28</v>
      </c>
      <c r="P543" s="4">
        <v>665</v>
      </c>
      <c r="Q543" s="4"/>
      <c r="R543" s="4" t="str">
        <f t="shared" si="36"/>
        <v>2020</v>
      </c>
      <c r="S543" s="4" t="str">
        <f t="shared" si="37"/>
        <v>February</v>
      </c>
      <c r="T543" s="4">
        <f t="shared" si="38"/>
        <v>665</v>
      </c>
      <c r="U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row>
    <row r="544" spans="1:53" ht="19.95" customHeight="1">
      <c r="A544" s="4">
        <v>543</v>
      </c>
      <c r="B544" s="4" t="s">
        <v>1652</v>
      </c>
      <c r="C544" s="4" t="s">
        <v>20</v>
      </c>
      <c r="D544" s="4"/>
      <c r="E544" s="4" t="s">
        <v>1625</v>
      </c>
      <c r="F544" s="4" t="s">
        <v>43</v>
      </c>
      <c r="G544" s="4" t="s">
        <v>24</v>
      </c>
      <c r="H544" s="4" t="s">
        <v>44</v>
      </c>
      <c r="I544" s="4" t="s">
        <v>1653</v>
      </c>
      <c r="J544" s="4" t="s">
        <v>1654</v>
      </c>
      <c r="K544" s="5">
        <v>43846</v>
      </c>
      <c r="L544" s="5">
        <v>43854</v>
      </c>
      <c r="M544" s="5">
        <v>43860</v>
      </c>
      <c r="N544" s="6">
        <f t="shared" si="39"/>
        <v>6</v>
      </c>
      <c r="O544" s="4" t="s">
        <v>28</v>
      </c>
      <c r="P544" s="4">
        <v>551</v>
      </c>
      <c r="Q544" s="4"/>
      <c r="R544" s="4" t="str">
        <f t="shared" si="36"/>
        <v>2020</v>
      </c>
      <c r="S544" s="4" t="str">
        <f t="shared" si="37"/>
        <v>January</v>
      </c>
      <c r="T544" s="4">
        <f t="shared" si="38"/>
        <v>551</v>
      </c>
      <c r="U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row>
    <row r="545" spans="1:53" ht="19.95" customHeight="1">
      <c r="A545" s="4">
        <v>544</v>
      </c>
      <c r="B545" s="4" t="s">
        <v>1655</v>
      </c>
      <c r="C545" s="4" t="s">
        <v>20</v>
      </c>
      <c r="D545" s="4"/>
      <c r="E545" s="4" t="s">
        <v>614</v>
      </c>
      <c r="F545" s="4" t="s">
        <v>23</v>
      </c>
      <c r="G545" s="4" t="s">
        <v>24</v>
      </c>
      <c r="H545" s="4" t="s">
        <v>25</v>
      </c>
      <c r="I545" s="4" t="s">
        <v>1656</v>
      </c>
      <c r="J545" s="4" t="s">
        <v>1657</v>
      </c>
      <c r="K545" s="5">
        <v>43846</v>
      </c>
      <c r="L545" s="5">
        <v>43871</v>
      </c>
      <c r="M545" s="5">
        <v>43892</v>
      </c>
      <c r="N545" s="6">
        <f t="shared" si="39"/>
        <v>21</v>
      </c>
      <c r="O545" s="4" t="s">
        <v>334</v>
      </c>
      <c r="P545" s="4">
        <v>6658.17</v>
      </c>
      <c r="Q545" s="4"/>
      <c r="R545" s="4" t="str">
        <f t="shared" si="36"/>
        <v>2020</v>
      </c>
      <c r="S545" s="4" t="str">
        <f t="shared" si="37"/>
        <v>February</v>
      </c>
      <c r="T545" s="4">
        <f t="shared" si="38"/>
        <v>6658.17</v>
      </c>
      <c r="U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row>
    <row r="546" spans="1:53" ht="19.95" customHeight="1">
      <c r="A546" s="4">
        <v>545</v>
      </c>
      <c r="B546" s="4" t="s">
        <v>1658</v>
      </c>
      <c r="C546" s="4" t="s">
        <v>20</v>
      </c>
      <c r="D546" s="4"/>
      <c r="E546" s="4" t="s">
        <v>455</v>
      </c>
      <c r="F546" s="4" t="s">
        <v>1659</v>
      </c>
      <c r="G546" s="4" t="s">
        <v>24</v>
      </c>
      <c r="H546" s="4" t="s">
        <v>1660</v>
      </c>
      <c r="I546" s="4" t="s">
        <v>1661</v>
      </c>
      <c r="J546" s="4" t="s">
        <v>1662</v>
      </c>
      <c r="K546" s="5">
        <v>43845</v>
      </c>
      <c r="L546" s="5">
        <v>43876</v>
      </c>
      <c r="M546" s="5">
        <v>43883</v>
      </c>
      <c r="N546" s="6">
        <f t="shared" si="39"/>
        <v>7</v>
      </c>
      <c r="O546" s="4" t="s">
        <v>28</v>
      </c>
      <c r="P546" s="4">
        <v>3389.62</v>
      </c>
      <c r="Q546" s="4"/>
      <c r="R546" s="4" t="str">
        <f t="shared" si="36"/>
        <v>2020</v>
      </c>
      <c r="S546" s="4" t="str">
        <f t="shared" si="37"/>
        <v>February</v>
      </c>
      <c r="T546" s="4">
        <f t="shared" si="38"/>
        <v>3389.62</v>
      </c>
      <c r="U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row>
    <row r="547" spans="1:53" ht="19.95" customHeight="1">
      <c r="A547" s="4">
        <v>546</v>
      </c>
      <c r="B547" s="4" t="s">
        <v>1663</v>
      </c>
      <c r="C547" s="4" t="s">
        <v>20</v>
      </c>
      <c r="D547" s="4"/>
      <c r="E547" s="4" t="s">
        <v>1523</v>
      </c>
      <c r="F547" s="4" t="s">
        <v>23</v>
      </c>
      <c r="G547" s="4" t="s">
        <v>24</v>
      </c>
      <c r="H547" s="4" t="s">
        <v>25</v>
      </c>
      <c r="I547" s="4" t="s">
        <v>1664</v>
      </c>
      <c r="J547" s="4" t="s">
        <v>1665</v>
      </c>
      <c r="K547" s="5">
        <v>43844</v>
      </c>
      <c r="L547" s="5">
        <v>43892</v>
      </c>
      <c r="M547" s="5">
        <v>43904</v>
      </c>
      <c r="N547" s="6">
        <f t="shared" si="39"/>
        <v>12</v>
      </c>
      <c r="O547" s="4" t="s">
        <v>28</v>
      </c>
      <c r="P547" s="4">
        <v>625</v>
      </c>
      <c r="Q547" s="4"/>
      <c r="R547" s="4" t="str">
        <f t="shared" si="36"/>
        <v>2020</v>
      </c>
      <c r="S547" s="4" t="str">
        <f t="shared" si="37"/>
        <v>March</v>
      </c>
      <c r="T547" s="4">
        <f t="shared" si="38"/>
        <v>625</v>
      </c>
      <c r="U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row>
    <row r="548" spans="1:53" ht="19.95" customHeight="1">
      <c r="A548" s="4">
        <v>547</v>
      </c>
      <c r="B548" s="4" t="s">
        <v>1666</v>
      </c>
      <c r="C548" s="4" t="s">
        <v>20</v>
      </c>
      <c r="D548" s="4"/>
      <c r="E548" s="4" t="s">
        <v>1523</v>
      </c>
      <c r="F548" s="4" t="s">
        <v>77</v>
      </c>
      <c r="G548" s="4" t="s">
        <v>24</v>
      </c>
      <c r="H548" s="4" t="s">
        <v>77</v>
      </c>
      <c r="I548" s="4" t="s">
        <v>1667</v>
      </c>
      <c r="J548" s="4" t="s">
        <v>1668</v>
      </c>
      <c r="K548" s="5">
        <v>43843</v>
      </c>
      <c r="L548" s="5">
        <v>43861</v>
      </c>
      <c r="M548" s="5">
        <v>43869</v>
      </c>
      <c r="N548" s="6">
        <f t="shared" si="39"/>
        <v>8</v>
      </c>
      <c r="O548" s="4" t="s">
        <v>28</v>
      </c>
      <c r="P548" s="4">
        <v>800</v>
      </c>
      <c r="Q548" s="4"/>
      <c r="R548" s="4" t="str">
        <f t="shared" si="36"/>
        <v>2020</v>
      </c>
      <c r="S548" s="4" t="str">
        <f t="shared" si="37"/>
        <v>January</v>
      </c>
      <c r="T548" s="4">
        <f t="shared" si="38"/>
        <v>800</v>
      </c>
      <c r="U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row>
    <row r="549" spans="1:53" ht="19.95" customHeight="1">
      <c r="A549" s="4">
        <v>548</v>
      </c>
      <c r="B549" s="4" t="s">
        <v>1669</v>
      </c>
      <c r="C549" s="4" t="s">
        <v>65</v>
      </c>
      <c r="D549" s="4"/>
      <c r="E549" s="4" t="s">
        <v>455</v>
      </c>
      <c r="F549" s="4" t="s">
        <v>1283</v>
      </c>
      <c r="G549" s="4" t="s">
        <v>24</v>
      </c>
      <c r="H549" s="4" t="s">
        <v>1284</v>
      </c>
      <c r="I549" s="4" t="s">
        <v>1670</v>
      </c>
      <c r="J549" s="4" t="s">
        <v>1671</v>
      </c>
      <c r="K549" s="5">
        <v>43843</v>
      </c>
      <c r="L549" s="5">
        <v>43871</v>
      </c>
      <c r="M549" s="5">
        <v>43892</v>
      </c>
      <c r="N549" s="6">
        <f t="shared" si="39"/>
        <v>21</v>
      </c>
      <c r="O549" s="4" t="s">
        <v>28</v>
      </c>
      <c r="P549" s="4">
        <v>24896.78</v>
      </c>
      <c r="Q549" s="4"/>
      <c r="R549" s="4" t="str">
        <f t="shared" si="36"/>
        <v>2020</v>
      </c>
      <c r="S549" s="4" t="str">
        <f t="shared" si="37"/>
        <v>February</v>
      </c>
      <c r="T549" s="4">
        <f t="shared" si="38"/>
        <v>24896.78</v>
      </c>
      <c r="U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row>
    <row r="550" spans="1:53" ht="19.95" customHeight="1">
      <c r="A550" s="4">
        <v>549</v>
      </c>
      <c r="B550" s="4" t="s">
        <v>1672</v>
      </c>
      <c r="C550" s="4" t="s">
        <v>20</v>
      </c>
      <c r="D550" s="4"/>
      <c r="E550" s="4" t="s">
        <v>1567</v>
      </c>
      <c r="F550" s="4" t="s">
        <v>23</v>
      </c>
      <c r="G550" s="4" t="s">
        <v>24</v>
      </c>
      <c r="H550" s="4" t="s">
        <v>25</v>
      </c>
      <c r="I550" s="4" t="s">
        <v>1673</v>
      </c>
      <c r="J550" s="4" t="s">
        <v>1674</v>
      </c>
      <c r="K550" s="5">
        <v>43840</v>
      </c>
      <c r="L550" s="5">
        <v>43870</v>
      </c>
      <c r="M550" s="5">
        <v>43885</v>
      </c>
      <c r="N550" s="6">
        <f t="shared" si="39"/>
        <v>15</v>
      </c>
      <c r="O550" s="4" t="s">
        <v>28</v>
      </c>
      <c r="P550" s="4">
        <v>8122.58</v>
      </c>
      <c r="Q550" s="4"/>
      <c r="R550" s="4" t="str">
        <f t="shared" si="36"/>
        <v>2020</v>
      </c>
      <c r="S550" s="4" t="str">
        <f t="shared" si="37"/>
        <v>February</v>
      </c>
      <c r="T550" s="4">
        <f t="shared" si="38"/>
        <v>8122.58</v>
      </c>
      <c r="U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row>
    <row r="551" spans="1:53" ht="19.95" customHeight="1">
      <c r="A551" s="4">
        <v>550</v>
      </c>
      <c r="B551" s="4" t="s">
        <v>1675</v>
      </c>
      <c r="C551" s="4" t="s">
        <v>20</v>
      </c>
      <c r="D551" s="4"/>
      <c r="E551" s="4" t="s">
        <v>1567</v>
      </c>
      <c r="F551" s="4" t="s">
        <v>23</v>
      </c>
      <c r="G551" s="4" t="s">
        <v>24</v>
      </c>
      <c r="H551" s="4" t="s">
        <v>25</v>
      </c>
      <c r="I551" s="4" t="s">
        <v>1676</v>
      </c>
      <c r="J551" s="4" t="s">
        <v>1677</v>
      </c>
      <c r="K551" s="5">
        <v>43840</v>
      </c>
      <c r="L551" s="5">
        <v>43868</v>
      </c>
      <c r="M551" s="5">
        <v>43870</v>
      </c>
      <c r="N551" s="6">
        <f t="shared" si="39"/>
        <v>2</v>
      </c>
      <c r="O551" s="4" t="s">
        <v>28</v>
      </c>
      <c r="P551" s="4">
        <v>1094</v>
      </c>
      <c r="Q551" s="4"/>
      <c r="R551" s="4" t="str">
        <f t="shared" si="36"/>
        <v>2020</v>
      </c>
      <c r="S551" s="4" t="str">
        <f t="shared" si="37"/>
        <v>February</v>
      </c>
      <c r="T551" s="4">
        <f t="shared" si="38"/>
        <v>1094</v>
      </c>
      <c r="U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row>
    <row r="552" spans="1:53" ht="19.95" customHeight="1">
      <c r="A552" s="4">
        <v>551</v>
      </c>
      <c r="B552" s="4" t="s">
        <v>1678</v>
      </c>
      <c r="C552" s="4" t="s">
        <v>65</v>
      </c>
      <c r="D552" s="4"/>
      <c r="E552" s="4" t="s">
        <v>1523</v>
      </c>
      <c r="F552" s="4" t="s">
        <v>23</v>
      </c>
      <c r="G552" s="4" t="s">
        <v>24</v>
      </c>
      <c r="H552" s="4" t="s">
        <v>25</v>
      </c>
      <c r="I552" s="4" t="s">
        <v>1679</v>
      </c>
      <c r="J552" s="4" t="s">
        <v>1680</v>
      </c>
      <c r="K552" s="5">
        <v>43839</v>
      </c>
      <c r="L552" s="5">
        <v>43850</v>
      </c>
      <c r="M552" s="5">
        <v>43859</v>
      </c>
      <c r="N552" s="6">
        <f t="shared" si="39"/>
        <v>9</v>
      </c>
      <c r="O552" s="4" t="s">
        <v>28</v>
      </c>
      <c r="P552" s="4">
        <v>900</v>
      </c>
      <c r="Q552" s="4"/>
      <c r="R552" s="4" t="str">
        <f t="shared" si="36"/>
        <v>2020</v>
      </c>
      <c r="S552" s="4" t="str">
        <f t="shared" si="37"/>
        <v>January</v>
      </c>
      <c r="T552" s="4">
        <f t="shared" si="38"/>
        <v>900</v>
      </c>
      <c r="U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row>
    <row r="553" spans="1:53" ht="19.95" customHeight="1">
      <c r="A553" s="4">
        <v>552</v>
      </c>
      <c r="B553" s="4" t="s">
        <v>1681</v>
      </c>
      <c r="C553" s="4" t="s">
        <v>20</v>
      </c>
      <c r="D553" s="4"/>
      <c r="E553" s="4" t="s">
        <v>614</v>
      </c>
      <c r="F553" s="4" t="s">
        <v>23</v>
      </c>
      <c r="G553" s="4" t="s">
        <v>24</v>
      </c>
      <c r="H553" s="4" t="s">
        <v>25</v>
      </c>
      <c r="I553" s="4" t="s">
        <v>1682</v>
      </c>
      <c r="J553" s="4" t="s">
        <v>1683</v>
      </c>
      <c r="K553" s="5">
        <v>43839</v>
      </c>
      <c r="L553" s="5">
        <v>43893</v>
      </c>
      <c r="M553" s="5">
        <v>43906</v>
      </c>
      <c r="N553" s="6">
        <f t="shared" si="39"/>
        <v>13</v>
      </c>
      <c r="O553" s="4" t="s">
        <v>334</v>
      </c>
      <c r="P553" s="4">
        <v>6579.28</v>
      </c>
      <c r="Q553" s="4"/>
      <c r="R553" s="4" t="str">
        <f t="shared" si="36"/>
        <v>2020</v>
      </c>
      <c r="S553" s="4" t="str">
        <f t="shared" si="37"/>
        <v>March</v>
      </c>
      <c r="T553" s="4">
        <f t="shared" si="38"/>
        <v>6579.28</v>
      </c>
      <c r="U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row>
    <row r="554" spans="1:53" ht="19.95" customHeight="1">
      <c r="A554" s="4">
        <v>553</v>
      </c>
      <c r="B554" s="4" t="s">
        <v>1684</v>
      </c>
      <c r="C554" s="4" t="s">
        <v>65</v>
      </c>
      <c r="D554" s="4"/>
      <c r="E554" s="4" t="s">
        <v>455</v>
      </c>
      <c r="F554" s="4" t="s">
        <v>1685</v>
      </c>
      <c r="G554" s="4" t="s">
        <v>24</v>
      </c>
      <c r="H554" s="4" t="s">
        <v>1686</v>
      </c>
      <c r="I554" s="4" t="s">
        <v>1687</v>
      </c>
      <c r="J554" s="4" t="s">
        <v>1688</v>
      </c>
      <c r="K554" s="5">
        <v>43838</v>
      </c>
      <c r="L554" s="5">
        <v>43843</v>
      </c>
      <c r="M554" s="5">
        <v>43849</v>
      </c>
      <c r="N554" s="6">
        <f t="shared" si="39"/>
        <v>6</v>
      </c>
      <c r="O554" s="4" t="s">
        <v>28</v>
      </c>
      <c r="P554" s="4">
        <v>1285.98</v>
      </c>
      <c r="Q554" s="4"/>
      <c r="R554" s="4" t="str">
        <f t="shared" si="36"/>
        <v>2020</v>
      </c>
      <c r="S554" s="4" t="str">
        <f t="shared" si="37"/>
        <v>January</v>
      </c>
      <c r="T554" s="4">
        <f t="shared" si="38"/>
        <v>1285.98</v>
      </c>
      <c r="U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row>
    <row r="555" spans="1:53" ht="19.95" customHeight="1">
      <c r="A555" s="4">
        <v>554</v>
      </c>
      <c r="B555" s="4" t="s">
        <v>1689</v>
      </c>
      <c r="C555" s="4" t="s">
        <v>20</v>
      </c>
      <c r="D555" s="4"/>
      <c r="E555" s="4" t="s">
        <v>614</v>
      </c>
      <c r="F555" s="4" t="s">
        <v>77</v>
      </c>
      <c r="G555" s="4" t="s">
        <v>24</v>
      </c>
      <c r="H555" s="4" t="s">
        <v>77</v>
      </c>
      <c r="I555" s="4" t="s">
        <v>1690</v>
      </c>
      <c r="J555" s="4" t="s">
        <v>1691</v>
      </c>
      <c r="K555" s="5">
        <v>43837</v>
      </c>
      <c r="L555" s="5">
        <v>43856</v>
      </c>
      <c r="M555" s="5">
        <v>43862</v>
      </c>
      <c r="N555" s="6">
        <f t="shared" si="39"/>
        <v>6</v>
      </c>
      <c r="O555" s="4" t="s">
        <v>28</v>
      </c>
      <c r="P555" s="4">
        <v>3737.73</v>
      </c>
      <c r="Q555" s="4"/>
      <c r="R555" s="4" t="str">
        <f t="shared" si="36"/>
        <v>2020</v>
      </c>
      <c r="S555" s="4" t="str">
        <f t="shared" si="37"/>
        <v>January</v>
      </c>
      <c r="T555" s="4">
        <f t="shared" si="38"/>
        <v>3737.73</v>
      </c>
      <c r="U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row>
    <row r="556" spans="1:53" ht="19.95" customHeight="1">
      <c r="A556" s="4">
        <v>555</v>
      </c>
      <c r="B556" s="4" t="s">
        <v>1692</v>
      </c>
      <c r="C556" s="4" t="s">
        <v>65</v>
      </c>
      <c r="D556" s="4"/>
      <c r="E556" s="4" t="s">
        <v>1693</v>
      </c>
      <c r="F556" s="4" t="s">
        <v>48</v>
      </c>
      <c r="G556" s="4" t="s">
        <v>24</v>
      </c>
      <c r="H556" s="4" t="s">
        <v>49</v>
      </c>
      <c r="I556" s="4" t="s">
        <v>1694</v>
      </c>
      <c r="J556" s="4" t="s">
        <v>1695</v>
      </c>
      <c r="K556" s="5">
        <v>43837</v>
      </c>
      <c r="L556" s="5">
        <v>43843</v>
      </c>
      <c r="M556" s="5">
        <v>43847</v>
      </c>
      <c r="N556" s="6">
        <f t="shared" si="39"/>
        <v>4</v>
      </c>
      <c r="O556" s="4" t="s">
        <v>762</v>
      </c>
      <c r="P556" s="4">
        <v>791335.22</v>
      </c>
      <c r="Q556" s="4"/>
      <c r="R556" s="4" t="str">
        <f t="shared" si="36"/>
        <v>2020</v>
      </c>
      <c r="S556" s="4" t="str">
        <f t="shared" si="37"/>
        <v>January</v>
      </c>
      <c r="T556" s="4">
        <f t="shared" si="38"/>
        <v>791335.22</v>
      </c>
      <c r="U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row>
    <row r="557" spans="1:53" ht="19.95" customHeight="1">
      <c r="A557" s="4">
        <v>556</v>
      </c>
      <c r="B557" s="4" t="s">
        <v>1696</v>
      </c>
      <c r="C557" s="4" t="s">
        <v>20</v>
      </c>
      <c r="D557" s="4"/>
      <c r="E557" s="4" t="s">
        <v>1697</v>
      </c>
      <c r="F557" s="4" t="s">
        <v>23</v>
      </c>
      <c r="G557" s="4" t="s">
        <v>24</v>
      </c>
      <c r="H557" s="4" t="s">
        <v>25</v>
      </c>
      <c r="I557" s="4" t="s">
        <v>1698</v>
      </c>
      <c r="J557" s="4" t="s">
        <v>1699</v>
      </c>
      <c r="K557" s="5">
        <v>43836</v>
      </c>
      <c r="L557" s="5">
        <v>43901</v>
      </c>
      <c r="M557" s="5">
        <v>43914</v>
      </c>
      <c r="N557" s="6">
        <f t="shared" si="39"/>
        <v>13</v>
      </c>
      <c r="O557" s="4" t="s">
        <v>334</v>
      </c>
      <c r="P557" s="4">
        <v>3132.48</v>
      </c>
      <c r="Q557" s="4"/>
      <c r="R557" s="4" t="str">
        <f t="shared" si="36"/>
        <v>2020</v>
      </c>
      <c r="S557" s="4" t="str">
        <f t="shared" si="37"/>
        <v>March</v>
      </c>
      <c r="T557" s="4">
        <f t="shared" si="38"/>
        <v>3132.48</v>
      </c>
      <c r="U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row>
    <row r="558" spans="1:53" ht="19.95" customHeight="1">
      <c r="A558" s="4">
        <v>557</v>
      </c>
      <c r="B558" s="4" t="s">
        <v>1700</v>
      </c>
      <c r="C558" s="4" t="s">
        <v>20</v>
      </c>
      <c r="D558" s="4"/>
      <c r="E558" s="4" t="s">
        <v>455</v>
      </c>
      <c r="F558" s="4" t="s">
        <v>23</v>
      </c>
      <c r="G558" s="4" t="s">
        <v>24</v>
      </c>
      <c r="H558" s="4" t="s">
        <v>25</v>
      </c>
      <c r="I558" s="4" t="s">
        <v>1701</v>
      </c>
      <c r="J558" s="4" t="s">
        <v>1702</v>
      </c>
      <c r="K558" s="5">
        <v>43833</v>
      </c>
      <c r="L558" s="5">
        <v>43863</v>
      </c>
      <c r="M558" s="5">
        <v>43884</v>
      </c>
      <c r="N558" s="6">
        <f t="shared" si="39"/>
        <v>21</v>
      </c>
      <c r="O558" s="4" t="s">
        <v>28</v>
      </c>
      <c r="P558" s="4">
        <v>3241.4</v>
      </c>
      <c r="Q558" s="4"/>
      <c r="R558" s="4" t="str">
        <f t="shared" si="36"/>
        <v>2020</v>
      </c>
      <c r="S558" s="4" t="str">
        <f t="shared" si="37"/>
        <v>February</v>
      </c>
      <c r="T558" s="4">
        <f t="shared" si="38"/>
        <v>3241.4</v>
      </c>
      <c r="U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row>
    <row r="559" spans="1:53" ht="19.95" customHeight="1">
      <c r="A559" s="4">
        <v>558</v>
      </c>
      <c r="B559" s="4" t="s">
        <v>1703</v>
      </c>
      <c r="C559" s="4" t="s">
        <v>20</v>
      </c>
      <c r="D559" s="4"/>
      <c r="E559" s="4" t="s">
        <v>1567</v>
      </c>
      <c r="F559" s="4" t="s">
        <v>23</v>
      </c>
      <c r="G559" s="4" t="s">
        <v>24</v>
      </c>
      <c r="H559" s="4" t="s">
        <v>1704</v>
      </c>
      <c r="I559" s="4" t="s">
        <v>1705</v>
      </c>
      <c r="J559" s="4" t="s">
        <v>1706</v>
      </c>
      <c r="K559" s="5">
        <v>43832</v>
      </c>
      <c r="L559" s="5">
        <v>43840</v>
      </c>
      <c r="M559" s="5">
        <v>43850</v>
      </c>
      <c r="N559" s="6">
        <f t="shared" si="39"/>
        <v>10</v>
      </c>
      <c r="O559" s="4" t="s">
        <v>28</v>
      </c>
      <c r="P559" s="4">
        <v>2920.02</v>
      </c>
      <c r="Q559" s="4"/>
      <c r="R559" s="4" t="str">
        <f t="shared" si="36"/>
        <v>2020</v>
      </c>
      <c r="S559" s="4" t="str">
        <f t="shared" si="37"/>
        <v>January</v>
      </c>
      <c r="T559" s="4">
        <f t="shared" si="38"/>
        <v>2920.02</v>
      </c>
      <c r="U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row>
    <row r="560" spans="1:53" ht="19.95" customHeight="1">
      <c r="A560" s="4">
        <v>559</v>
      </c>
      <c r="B560" s="4" t="s">
        <v>1707</v>
      </c>
      <c r="C560" s="4" t="s">
        <v>20</v>
      </c>
      <c r="D560" s="4"/>
      <c r="E560" s="4" t="s">
        <v>1523</v>
      </c>
      <c r="F560" s="4" t="s">
        <v>48</v>
      </c>
      <c r="G560" s="4" t="s">
        <v>24</v>
      </c>
      <c r="H560" s="4" t="s">
        <v>49</v>
      </c>
      <c r="I560" s="4" t="s">
        <v>1708</v>
      </c>
      <c r="J560" s="4" t="s">
        <v>1709</v>
      </c>
      <c r="K560" s="5">
        <v>43830</v>
      </c>
      <c r="L560" s="5">
        <v>43924</v>
      </c>
      <c r="M560" s="5">
        <v>43924</v>
      </c>
      <c r="N560" s="6">
        <f t="shared" si="39"/>
        <v>0</v>
      </c>
      <c r="O560" s="4" t="s">
        <v>1710</v>
      </c>
      <c r="P560" s="4">
        <v>13740</v>
      </c>
      <c r="Q560" s="4"/>
      <c r="R560" s="4" t="str">
        <f t="shared" si="36"/>
        <v>2020</v>
      </c>
      <c r="S560" s="4" t="str">
        <f t="shared" si="37"/>
        <v>April</v>
      </c>
      <c r="T560" s="4">
        <f t="shared" si="38"/>
        <v>13740</v>
      </c>
      <c r="U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row>
    <row r="561" spans="1:53" ht="19.95" customHeight="1">
      <c r="A561" s="4">
        <v>560</v>
      </c>
      <c r="B561" s="4" t="s">
        <v>1711</v>
      </c>
      <c r="C561" s="4" t="s">
        <v>20</v>
      </c>
      <c r="D561" s="4"/>
      <c r="E561" s="4" t="s">
        <v>1523</v>
      </c>
      <c r="F561" s="4" t="s">
        <v>23</v>
      </c>
      <c r="G561" s="4" t="s">
        <v>24</v>
      </c>
      <c r="H561" s="4" t="s">
        <v>25</v>
      </c>
      <c r="I561" s="4" t="s">
        <v>1712</v>
      </c>
      <c r="J561" s="4" t="s">
        <v>1713</v>
      </c>
      <c r="K561" s="5">
        <v>43830</v>
      </c>
      <c r="L561" s="5">
        <v>43837</v>
      </c>
      <c r="M561" s="5">
        <v>43838</v>
      </c>
      <c r="N561" s="6">
        <f t="shared" si="39"/>
        <v>1</v>
      </c>
      <c r="O561" s="4" t="s">
        <v>28</v>
      </c>
      <c r="P561" s="4">
        <v>90</v>
      </c>
      <c r="Q561" s="4"/>
      <c r="R561" s="4" t="str">
        <f t="shared" si="36"/>
        <v>2020</v>
      </c>
      <c r="S561" s="4" t="str">
        <f t="shared" si="37"/>
        <v>January</v>
      </c>
      <c r="T561" s="4">
        <f t="shared" si="38"/>
        <v>90</v>
      </c>
      <c r="U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row>
    <row r="562" spans="1:53" ht="19.95" customHeight="1">
      <c r="A562" s="4">
        <v>561</v>
      </c>
      <c r="B562" s="4" t="s">
        <v>1714</v>
      </c>
      <c r="C562" s="4" t="s">
        <v>20</v>
      </c>
      <c r="D562" s="4"/>
      <c r="E562" s="4" t="s">
        <v>455</v>
      </c>
      <c r="F562" s="4" t="s">
        <v>1715</v>
      </c>
      <c r="G562" s="4" t="s">
        <v>24</v>
      </c>
      <c r="H562" s="4" t="s">
        <v>1715</v>
      </c>
      <c r="I562" s="4" t="s">
        <v>1716</v>
      </c>
      <c r="J562" s="4" t="s">
        <v>1717</v>
      </c>
      <c r="K562" s="5">
        <v>43829</v>
      </c>
      <c r="L562" s="5">
        <v>43830</v>
      </c>
      <c r="M562" s="5">
        <v>43837</v>
      </c>
      <c r="N562" s="6">
        <f t="shared" si="39"/>
        <v>7</v>
      </c>
      <c r="O562" s="4" t="s">
        <v>28</v>
      </c>
      <c r="P562" s="4">
        <v>1299.0899999999999</v>
      </c>
      <c r="Q562" s="4"/>
      <c r="R562" s="4" t="str">
        <f t="shared" si="36"/>
        <v>2019</v>
      </c>
      <c r="S562" s="4" t="str">
        <f t="shared" si="37"/>
        <v>December</v>
      </c>
      <c r="T562" s="4">
        <f t="shared" si="38"/>
        <v>1299.0899999999999</v>
      </c>
      <c r="U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row>
    <row r="563" spans="1:53" ht="19.95" customHeight="1">
      <c r="A563" s="4">
        <v>562</v>
      </c>
      <c r="B563" s="4" t="s">
        <v>1718</v>
      </c>
      <c r="C563" s="4" t="s">
        <v>20</v>
      </c>
      <c r="D563" s="4"/>
      <c r="E563" s="4" t="s">
        <v>1523</v>
      </c>
      <c r="F563" s="4" t="s">
        <v>43</v>
      </c>
      <c r="G563" s="4" t="s">
        <v>24</v>
      </c>
      <c r="H563" s="4" t="s">
        <v>224</v>
      </c>
      <c r="I563" s="4" t="s">
        <v>1719</v>
      </c>
      <c r="J563" s="4" t="s">
        <v>1720</v>
      </c>
      <c r="K563" s="5">
        <v>43829</v>
      </c>
      <c r="L563" s="5">
        <v>43832</v>
      </c>
      <c r="M563" s="5">
        <v>43835</v>
      </c>
      <c r="N563" s="6">
        <f t="shared" si="39"/>
        <v>3</v>
      </c>
      <c r="O563" s="4" t="s">
        <v>28</v>
      </c>
      <c r="P563" s="4">
        <v>340</v>
      </c>
      <c r="Q563" s="4"/>
      <c r="R563" s="4" t="str">
        <f t="shared" si="36"/>
        <v>2020</v>
      </c>
      <c r="S563" s="4" t="str">
        <f t="shared" si="37"/>
        <v>January</v>
      </c>
      <c r="T563" s="4">
        <f t="shared" si="38"/>
        <v>340</v>
      </c>
      <c r="U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row>
    <row r="564" spans="1:53" ht="19.95" customHeight="1">
      <c r="A564" s="4">
        <v>563</v>
      </c>
      <c r="B564" s="4" t="s">
        <v>1721</v>
      </c>
      <c r="C564" s="4" t="s">
        <v>20</v>
      </c>
      <c r="D564" s="4"/>
      <c r="E564" s="4" t="s">
        <v>1523</v>
      </c>
      <c r="F564" s="4" t="s">
        <v>589</v>
      </c>
      <c r="G564" s="4" t="s">
        <v>24</v>
      </c>
      <c r="H564" s="4" t="s">
        <v>346</v>
      </c>
      <c r="I564" s="4" t="s">
        <v>1722</v>
      </c>
      <c r="J564" s="4" t="s">
        <v>1723</v>
      </c>
      <c r="K564" s="5">
        <v>43827</v>
      </c>
      <c r="L564" s="5">
        <v>43830</v>
      </c>
      <c r="M564" s="5">
        <v>43835</v>
      </c>
      <c r="N564" s="6">
        <f t="shared" si="39"/>
        <v>5</v>
      </c>
      <c r="O564" s="4" t="s">
        <v>28</v>
      </c>
      <c r="P564" s="4">
        <v>225</v>
      </c>
      <c r="Q564" s="4"/>
      <c r="R564" s="4" t="str">
        <f t="shared" si="36"/>
        <v>2019</v>
      </c>
      <c r="S564" s="4" t="str">
        <f t="shared" si="37"/>
        <v>December</v>
      </c>
      <c r="T564" s="4">
        <f t="shared" si="38"/>
        <v>225</v>
      </c>
      <c r="U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row>
    <row r="565" spans="1:53" ht="19.95" customHeight="1">
      <c r="A565" s="4">
        <v>564</v>
      </c>
      <c r="B565" s="4" t="s">
        <v>1724</v>
      </c>
      <c r="C565" s="4" t="s">
        <v>20</v>
      </c>
      <c r="D565" s="4"/>
      <c r="E565" s="4" t="s">
        <v>614</v>
      </c>
      <c r="F565" s="4" t="s">
        <v>1725</v>
      </c>
      <c r="G565" s="4" t="s">
        <v>24</v>
      </c>
      <c r="H565" s="4" t="s">
        <v>1726</v>
      </c>
      <c r="I565" s="4" t="s">
        <v>1727</v>
      </c>
      <c r="J565" s="4" t="s">
        <v>1728</v>
      </c>
      <c r="K565" s="5">
        <v>43826</v>
      </c>
      <c r="L565" s="5">
        <v>43833</v>
      </c>
      <c r="M565" s="5">
        <v>43844</v>
      </c>
      <c r="N565" s="6">
        <f t="shared" si="39"/>
        <v>11</v>
      </c>
      <c r="O565" s="4" t="s">
        <v>28</v>
      </c>
      <c r="P565" s="4">
        <v>3014.17</v>
      </c>
      <c r="Q565" s="4"/>
      <c r="R565" s="4" t="str">
        <f t="shared" si="36"/>
        <v>2020</v>
      </c>
      <c r="S565" s="4" t="str">
        <f t="shared" si="37"/>
        <v>January</v>
      </c>
      <c r="T565" s="4">
        <f t="shared" si="38"/>
        <v>3014.17</v>
      </c>
      <c r="U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row>
    <row r="566" spans="1:53" ht="19.95" customHeight="1">
      <c r="A566" s="4">
        <v>565</v>
      </c>
      <c r="B566" s="4" t="s">
        <v>1729</v>
      </c>
      <c r="C566" s="4" t="s">
        <v>20</v>
      </c>
      <c r="D566" s="4"/>
      <c r="E566" s="4" t="s">
        <v>1523</v>
      </c>
      <c r="F566" s="4" t="s">
        <v>43</v>
      </c>
      <c r="G566" s="4" t="s">
        <v>24</v>
      </c>
      <c r="H566" s="4" t="s">
        <v>44</v>
      </c>
      <c r="I566" s="4" t="s">
        <v>1730</v>
      </c>
      <c r="J566" s="4" t="s">
        <v>1731</v>
      </c>
      <c r="K566" s="5">
        <v>43825</v>
      </c>
      <c r="L566" s="5">
        <v>43829</v>
      </c>
      <c r="M566" s="5">
        <v>43837</v>
      </c>
      <c r="N566" s="6">
        <f t="shared" si="39"/>
        <v>8</v>
      </c>
      <c r="O566" s="4" t="s">
        <v>28</v>
      </c>
      <c r="P566" s="4">
        <v>405</v>
      </c>
      <c r="Q566" s="4"/>
      <c r="R566" s="4" t="str">
        <f t="shared" si="36"/>
        <v>2019</v>
      </c>
      <c r="S566" s="4" t="str">
        <f t="shared" si="37"/>
        <v>December</v>
      </c>
      <c r="T566" s="4">
        <f t="shared" si="38"/>
        <v>405</v>
      </c>
      <c r="U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row>
    <row r="567" spans="1:53" ht="19.95" customHeight="1">
      <c r="A567" s="4">
        <v>566</v>
      </c>
      <c r="B567" s="4" t="s">
        <v>1732</v>
      </c>
      <c r="C567" s="4" t="s">
        <v>20</v>
      </c>
      <c r="D567" s="4"/>
      <c r="E567" s="4" t="s">
        <v>1523</v>
      </c>
      <c r="F567" s="4" t="s">
        <v>24</v>
      </c>
      <c r="G567" s="4" t="s">
        <v>24</v>
      </c>
      <c r="H567" s="4" t="s">
        <v>224</v>
      </c>
      <c r="I567" s="4" t="s">
        <v>1733</v>
      </c>
      <c r="J567" s="4" t="s">
        <v>1734</v>
      </c>
      <c r="K567" s="5">
        <v>43822</v>
      </c>
      <c r="L567" s="5">
        <v>43827</v>
      </c>
      <c r="M567" s="5">
        <v>43834</v>
      </c>
      <c r="N567" s="6">
        <f t="shared" si="39"/>
        <v>7</v>
      </c>
      <c r="O567" s="4" t="s">
        <v>28</v>
      </c>
      <c r="P567" s="4">
        <v>400</v>
      </c>
      <c r="Q567" s="4"/>
      <c r="R567" s="4" t="str">
        <f t="shared" si="36"/>
        <v>2019</v>
      </c>
      <c r="S567" s="4" t="str">
        <f t="shared" si="37"/>
        <v>December</v>
      </c>
      <c r="T567" s="4">
        <f t="shared" si="38"/>
        <v>400</v>
      </c>
      <c r="U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row>
    <row r="568" spans="1:53" ht="19.95" customHeight="1">
      <c r="A568" s="4">
        <v>567</v>
      </c>
      <c r="B568" s="4" t="s">
        <v>1735</v>
      </c>
      <c r="C568" s="4" t="s">
        <v>20</v>
      </c>
      <c r="D568" s="4"/>
      <c r="E568" s="4" t="s">
        <v>1523</v>
      </c>
      <c r="F568" s="4" t="s">
        <v>48</v>
      </c>
      <c r="G568" s="4" t="s">
        <v>24</v>
      </c>
      <c r="H568" s="4" t="s">
        <v>49</v>
      </c>
      <c r="I568" s="4" t="s">
        <v>1736</v>
      </c>
      <c r="J568" s="4" t="s">
        <v>1737</v>
      </c>
      <c r="K568" s="5">
        <v>43821</v>
      </c>
      <c r="L568" s="5">
        <v>43826</v>
      </c>
      <c r="M568" s="5">
        <v>43832</v>
      </c>
      <c r="N568" s="6">
        <f t="shared" si="39"/>
        <v>6</v>
      </c>
      <c r="O568" s="4" t="s">
        <v>28</v>
      </c>
      <c r="P568" s="4">
        <v>315</v>
      </c>
      <c r="Q568" s="4"/>
      <c r="R568" s="4" t="str">
        <f t="shared" si="36"/>
        <v>2019</v>
      </c>
      <c r="S568" s="4" t="str">
        <f t="shared" si="37"/>
        <v>December</v>
      </c>
      <c r="T568" s="4">
        <f t="shared" si="38"/>
        <v>315</v>
      </c>
      <c r="U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row>
    <row r="569" spans="1:53" ht="19.95" customHeight="1">
      <c r="A569" s="4">
        <v>568</v>
      </c>
      <c r="B569" s="4" t="s">
        <v>1738</v>
      </c>
      <c r="C569" s="4" t="s">
        <v>20</v>
      </c>
      <c r="D569" s="4"/>
      <c r="E569" s="4" t="s">
        <v>1523</v>
      </c>
      <c r="F569" s="4" t="s">
        <v>23</v>
      </c>
      <c r="G569" s="4" t="s">
        <v>24</v>
      </c>
      <c r="H569" s="4" t="s">
        <v>25</v>
      </c>
      <c r="I569" s="4" t="s">
        <v>1739</v>
      </c>
      <c r="J569" s="4" t="s">
        <v>1740</v>
      </c>
      <c r="K569" s="5">
        <v>43818</v>
      </c>
      <c r="L569" s="5">
        <v>43864</v>
      </c>
      <c r="M569" s="5">
        <v>43877</v>
      </c>
      <c r="N569" s="6">
        <f t="shared" si="39"/>
        <v>13</v>
      </c>
      <c r="O569" s="4" t="s">
        <v>28</v>
      </c>
      <c r="P569" s="4">
        <v>780</v>
      </c>
      <c r="Q569" s="4"/>
      <c r="R569" s="4" t="str">
        <f t="shared" si="36"/>
        <v>2020</v>
      </c>
      <c r="S569" s="4" t="str">
        <f t="shared" si="37"/>
        <v>February</v>
      </c>
      <c r="T569" s="4">
        <f t="shared" si="38"/>
        <v>780</v>
      </c>
      <c r="U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row>
    <row r="570" spans="1:53" ht="19.95" customHeight="1">
      <c r="A570" s="4">
        <v>569</v>
      </c>
      <c r="B570" s="4" t="s">
        <v>1741</v>
      </c>
      <c r="C570" s="4" t="s">
        <v>20</v>
      </c>
      <c r="D570" s="4"/>
      <c r="E570" s="4" t="s">
        <v>1523</v>
      </c>
      <c r="F570" s="4" t="s">
        <v>23</v>
      </c>
      <c r="G570" s="4" t="s">
        <v>24</v>
      </c>
      <c r="H570" s="4" t="s">
        <v>25</v>
      </c>
      <c r="I570" s="4" t="s">
        <v>1742</v>
      </c>
      <c r="J570" s="4" t="s">
        <v>1743</v>
      </c>
      <c r="K570" s="5">
        <v>43818</v>
      </c>
      <c r="L570" s="5">
        <v>43823</v>
      </c>
      <c r="M570" s="5">
        <v>43828</v>
      </c>
      <c r="N570" s="6">
        <f t="shared" si="39"/>
        <v>5</v>
      </c>
      <c r="O570" s="4" t="s">
        <v>28</v>
      </c>
      <c r="P570" s="4">
        <v>580</v>
      </c>
      <c r="Q570" s="4"/>
      <c r="R570" s="4" t="str">
        <f t="shared" si="36"/>
        <v>2019</v>
      </c>
      <c r="S570" s="4" t="str">
        <f t="shared" si="37"/>
        <v>December</v>
      </c>
      <c r="T570" s="4">
        <f t="shared" si="38"/>
        <v>580</v>
      </c>
      <c r="U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row>
    <row r="571" spans="1:53" ht="19.95" customHeight="1">
      <c r="A571" s="4">
        <v>570</v>
      </c>
      <c r="B571" s="4" t="s">
        <v>1744</v>
      </c>
      <c r="C571" s="4" t="s">
        <v>65</v>
      </c>
      <c r="D571" s="4"/>
      <c r="E571" s="4" t="s">
        <v>1649</v>
      </c>
      <c r="F571" s="4" t="s">
        <v>904</v>
      </c>
      <c r="G571" s="4" t="s">
        <v>24</v>
      </c>
      <c r="H571" s="4" t="s">
        <v>905</v>
      </c>
      <c r="I571" s="4" t="s">
        <v>1745</v>
      </c>
      <c r="J571" s="4"/>
      <c r="K571" s="5">
        <v>43818</v>
      </c>
      <c r="L571" s="5">
        <v>43874</v>
      </c>
      <c r="M571" s="5">
        <v>43877</v>
      </c>
      <c r="N571" s="6">
        <f t="shared" si="39"/>
        <v>3</v>
      </c>
      <c r="O571" s="4" t="s">
        <v>28</v>
      </c>
      <c r="P571" s="4">
        <v>2640</v>
      </c>
      <c r="Q571" s="4"/>
      <c r="R571" s="4" t="str">
        <f t="shared" si="36"/>
        <v>2020</v>
      </c>
      <c r="S571" s="4" t="str">
        <f t="shared" si="37"/>
        <v>February</v>
      </c>
      <c r="T571" s="4">
        <f t="shared" si="38"/>
        <v>2640</v>
      </c>
      <c r="U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row>
    <row r="572" spans="1:53" ht="19.95" customHeight="1">
      <c r="A572" s="4">
        <v>571</v>
      </c>
      <c r="B572" s="4" t="s">
        <v>1746</v>
      </c>
      <c r="C572" s="4" t="s">
        <v>20</v>
      </c>
      <c r="D572" s="4"/>
      <c r="E572" s="4" t="s">
        <v>1523</v>
      </c>
      <c r="F572" s="4" t="s">
        <v>23</v>
      </c>
      <c r="G572" s="4" t="s">
        <v>24</v>
      </c>
      <c r="H572" s="4" t="s">
        <v>25</v>
      </c>
      <c r="I572" s="4" t="s">
        <v>1747</v>
      </c>
      <c r="J572" s="4" t="s">
        <v>1748</v>
      </c>
      <c r="K572" s="5">
        <v>43818</v>
      </c>
      <c r="L572" s="5">
        <v>43820</v>
      </c>
      <c r="M572" s="5">
        <v>43825</v>
      </c>
      <c r="N572" s="6">
        <f t="shared" si="39"/>
        <v>5</v>
      </c>
      <c r="O572" s="4" t="s">
        <v>28</v>
      </c>
      <c r="P572" s="4">
        <v>270</v>
      </c>
      <c r="Q572" s="4"/>
      <c r="R572" s="4" t="str">
        <f t="shared" si="36"/>
        <v>2019</v>
      </c>
      <c r="S572" s="4" t="str">
        <f t="shared" si="37"/>
        <v>December</v>
      </c>
      <c r="T572" s="4">
        <f t="shared" si="38"/>
        <v>270</v>
      </c>
      <c r="U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row>
    <row r="573" spans="1:53" ht="19.95" customHeight="1">
      <c r="A573" s="4">
        <v>572</v>
      </c>
      <c r="B573" s="4" t="s">
        <v>1749</v>
      </c>
      <c r="C573" s="4" t="s">
        <v>20</v>
      </c>
      <c r="D573" s="4"/>
      <c r="E573" s="4" t="s">
        <v>455</v>
      </c>
      <c r="F573" s="4" t="s">
        <v>23</v>
      </c>
      <c r="G573" s="4" t="s">
        <v>24</v>
      </c>
      <c r="H573" s="4" t="s">
        <v>25</v>
      </c>
      <c r="I573" s="4" t="s">
        <v>1750</v>
      </c>
      <c r="J573" s="4" t="s">
        <v>1751</v>
      </c>
      <c r="K573" s="5">
        <v>43817</v>
      </c>
      <c r="L573" s="5">
        <v>43845</v>
      </c>
      <c r="M573" s="5">
        <v>43863</v>
      </c>
      <c r="N573" s="6">
        <f t="shared" si="39"/>
        <v>18</v>
      </c>
      <c r="O573" s="4" t="s">
        <v>28</v>
      </c>
      <c r="P573" s="4">
        <v>8177.45</v>
      </c>
      <c r="Q573" s="4"/>
      <c r="R573" s="4" t="str">
        <f t="shared" si="36"/>
        <v>2020</v>
      </c>
      <c r="S573" s="4" t="str">
        <f t="shared" si="37"/>
        <v>January</v>
      </c>
      <c r="T573" s="4">
        <f t="shared" si="38"/>
        <v>8177.45</v>
      </c>
      <c r="U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row>
    <row r="574" spans="1:53" ht="19.95" customHeight="1">
      <c r="A574" s="4">
        <v>573</v>
      </c>
      <c r="B574" s="4" t="s">
        <v>1752</v>
      </c>
      <c r="C574" s="4" t="s">
        <v>20</v>
      </c>
      <c r="D574" s="4"/>
      <c r="E574" s="4" t="s">
        <v>1523</v>
      </c>
      <c r="F574" s="4" t="s">
        <v>43</v>
      </c>
      <c r="G574" s="4" t="s">
        <v>24</v>
      </c>
      <c r="H574" s="4" t="s">
        <v>44</v>
      </c>
      <c r="I574" s="4" t="s">
        <v>1753</v>
      </c>
      <c r="J574" s="4" t="s">
        <v>1754</v>
      </c>
      <c r="K574" s="5">
        <v>43816</v>
      </c>
      <c r="L574" s="5">
        <v>43844</v>
      </c>
      <c r="M574" s="5">
        <v>43849</v>
      </c>
      <c r="N574" s="6">
        <f t="shared" si="39"/>
        <v>5</v>
      </c>
      <c r="O574" s="4" t="s">
        <v>28</v>
      </c>
      <c r="P574" s="4">
        <v>270</v>
      </c>
      <c r="Q574" s="4"/>
      <c r="R574" s="4" t="str">
        <f t="shared" si="36"/>
        <v>2020</v>
      </c>
      <c r="S574" s="4" t="str">
        <f t="shared" si="37"/>
        <v>January</v>
      </c>
      <c r="T574" s="4">
        <f t="shared" si="38"/>
        <v>270</v>
      </c>
      <c r="U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row>
    <row r="575" spans="1:53" ht="19.95" customHeight="1">
      <c r="A575" s="4">
        <v>574</v>
      </c>
      <c r="B575" s="4" t="s">
        <v>1755</v>
      </c>
      <c r="C575" s="4" t="s">
        <v>20</v>
      </c>
      <c r="D575" s="4"/>
      <c r="E575" s="4" t="s">
        <v>1507</v>
      </c>
      <c r="F575" s="4" t="s">
        <v>24</v>
      </c>
      <c r="G575" s="4" t="s">
        <v>24</v>
      </c>
      <c r="H575" s="4" t="s">
        <v>25</v>
      </c>
      <c r="I575" s="4" t="s">
        <v>1756</v>
      </c>
      <c r="J575" s="4" t="s">
        <v>1757</v>
      </c>
      <c r="K575" s="5">
        <v>43815</v>
      </c>
      <c r="L575" s="5">
        <v>43896</v>
      </c>
      <c r="M575" s="5">
        <v>43896</v>
      </c>
      <c r="N575" s="6">
        <f t="shared" si="39"/>
        <v>0</v>
      </c>
      <c r="O575" s="4" t="s">
        <v>28</v>
      </c>
      <c r="P575" s="4">
        <v>5836</v>
      </c>
      <c r="Q575" s="4"/>
      <c r="R575" s="4" t="str">
        <f t="shared" si="36"/>
        <v>2020</v>
      </c>
      <c r="S575" s="4" t="str">
        <f t="shared" si="37"/>
        <v>March</v>
      </c>
      <c r="T575" s="4">
        <f t="shared" si="38"/>
        <v>5836</v>
      </c>
      <c r="U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row>
    <row r="576" spans="1:53" ht="19.95" customHeight="1">
      <c r="A576" s="4">
        <v>575</v>
      </c>
      <c r="B576" s="4" t="s">
        <v>1758</v>
      </c>
      <c r="C576" s="4" t="s">
        <v>65</v>
      </c>
      <c r="D576" s="4"/>
      <c r="E576" s="4" t="s">
        <v>1759</v>
      </c>
      <c r="F576" s="4" t="s">
        <v>1760</v>
      </c>
      <c r="G576" s="4" t="s">
        <v>24</v>
      </c>
      <c r="H576" s="4" t="s">
        <v>44</v>
      </c>
      <c r="I576" s="4" t="s">
        <v>1761</v>
      </c>
      <c r="J576" s="4" t="s">
        <v>1762</v>
      </c>
      <c r="K576" s="5">
        <v>43815</v>
      </c>
      <c r="L576" s="5">
        <v>43820</v>
      </c>
      <c r="M576" s="5">
        <v>43827</v>
      </c>
      <c r="N576" s="6">
        <f t="shared" si="39"/>
        <v>7</v>
      </c>
      <c r="O576" s="4" t="s">
        <v>28</v>
      </c>
      <c r="P576" s="4">
        <v>1584.18</v>
      </c>
      <c r="Q576" s="4"/>
      <c r="R576" s="4" t="str">
        <f t="shared" si="36"/>
        <v>2019</v>
      </c>
      <c r="S576" s="4" t="str">
        <f t="shared" si="37"/>
        <v>December</v>
      </c>
      <c r="T576" s="4">
        <f t="shared" si="38"/>
        <v>1584.18</v>
      </c>
      <c r="U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row>
    <row r="577" spans="1:53" ht="19.95" customHeight="1">
      <c r="A577" s="4">
        <v>576</v>
      </c>
      <c r="B577" s="4" t="s">
        <v>1763</v>
      </c>
      <c r="C577" s="4" t="s">
        <v>20</v>
      </c>
      <c r="D577" s="4"/>
      <c r="E577" s="4" t="s">
        <v>1567</v>
      </c>
      <c r="F577" s="4" t="s">
        <v>23</v>
      </c>
      <c r="G577" s="4" t="s">
        <v>24</v>
      </c>
      <c r="H577" s="4" t="s">
        <v>44</v>
      </c>
      <c r="I577" s="4" t="s">
        <v>1764</v>
      </c>
      <c r="J577" s="4" t="s">
        <v>1765</v>
      </c>
      <c r="K577" s="5">
        <v>43812</v>
      </c>
      <c r="L577" s="5">
        <v>43851</v>
      </c>
      <c r="M577" s="5">
        <v>43864</v>
      </c>
      <c r="N577" s="6">
        <f t="shared" si="39"/>
        <v>13</v>
      </c>
      <c r="O577" s="4" t="s">
        <v>28</v>
      </c>
      <c r="P577" s="4">
        <v>8444.5400000000009</v>
      </c>
      <c r="Q577" s="4"/>
      <c r="R577" s="4" t="str">
        <f t="shared" si="36"/>
        <v>2020</v>
      </c>
      <c r="S577" s="4" t="str">
        <f t="shared" si="37"/>
        <v>January</v>
      </c>
      <c r="T577" s="4">
        <f t="shared" si="38"/>
        <v>8444.5400000000009</v>
      </c>
      <c r="U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row>
    <row r="578" spans="1:53" ht="19.95" customHeight="1">
      <c r="A578" s="4">
        <v>577</v>
      </c>
      <c r="B578" s="4" t="s">
        <v>1766</v>
      </c>
      <c r="C578" s="4" t="s">
        <v>65</v>
      </c>
      <c r="D578" s="4"/>
      <c r="E578" s="4" t="s">
        <v>1357</v>
      </c>
      <c r="F578" s="4" t="s">
        <v>589</v>
      </c>
      <c r="G578" s="4" t="s">
        <v>24</v>
      </c>
      <c r="H578" s="4" t="s">
        <v>346</v>
      </c>
      <c r="I578" s="4" t="s">
        <v>1767</v>
      </c>
      <c r="J578" s="4" t="s">
        <v>1768</v>
      </c>
      <c r="K578" s="5">
        <v>43810</v>
      </c>
      <c r="L578" s="5">
        <v>43826</v>
      </c>
      <c r="M578" s="5">
        <v>43832</v>
      </c>
      <c r="N578" s="6">
        <f t="shared" si="39"/>
        <v>6</v>
      </c>
      <c r="O578" s="4" t="s">
        <v>28</v>
      </c>
      <c r="P578" s="4">
        <v>3415.56</v>
      </c>
      <c r="Q578" s="4"/>
      <c r="R578" s="4" t="str">
        <f t="shared" ref="R578:R641" si="40">TEXT(L578,"YYY")</f>
        <v>2019</v>
      </c>
      <c r="S578" s="4" t="str">
        <f t="shared" ref="S578:S641" si="41">TEXT(L578,"MMMM")</f>
        <v>December</v>
      </c>
      <c r="T578" s="4">
        <f t="shared" ref="T578:T641" si="42">P578</f>
        <v>3415.56</v>
      </c>
      <c r="U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row>
    <row r="579" spans="1:53" ht="19.95" customHeight="1">
      <c r="A579" s="4">
        <v>578</v>
      </c>
      <c r="B579" s="4" t="s">
        <v>1769</v>
      </c>
      <c r="C579" s="4" t="s">
        <v>20</v>
      </c>
      <c r="D579" s="4"/>
      <c r="E579" s="4" t="s">
        <v>455</v>
      </c>
      <c r="F579" s="4" t="s">
        <v>43</v>
      </c>
      <c r="G579" s="4" t="s">
        <v>24</v>
      </c>
      <c r="H579" s="4" t="s">
        <v>44</v>
      </c>
      <c r="I579" s="4" t="s">
        <v>1770</v>
      </c>
      <c r="J579" s="4" t="s">
        <v>1771</v>
      </c>
      <c r="K579" s="5">
        <v>43810</v>
      </c>
      <c r="L579" s="5">
        <v>43836</v>
      </c>
      <c r="M579" s="5">
        <v>43849</v>
      </c>
      <c r="N579" s="6">
        <f t="shared" si="39"/>
        <v>13</v>
      </c>
      <c r="O579" s="4" t="s">
        <v>28</v>
      </c>
      <c r="P579" s="4">
        <v>3220</v>
      </c>
      <c r="Q579" s="4"/>
      <c r="R579" s="4" t="str">
        <f t="shared" si="40"/>
        <v>2020</v>
      </c>
      <c r="S579" s="4" t="str">
        <f t="shared" si="41"/>
        <v>January</v>
      </c>
      <c r="T579" s="4">
        <f t="shared" si="42"/>
        <v>3220</v>
      </c>
      <c r="U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row>
    <row r="580" spans="1:53" ht="19.95" customHeight="1">
      <c r="A580" s="4">
        <v>579</v>
      </c>
      <c r="B580" s="4" t="s">
        <v>1772</v>
      </c>
      <c r="C580" s="4" t="s">
        <v>20</v>
      </c>
      <c r="D580" s="4"/>
      <c r="E580" s="4" t="s">
        <v>1523</v>
      </c>
      <c r="F580" s="4" t="s">
        <v>43</v>
      </c>
      <c r="G580" s="4" t="s">
        <v>24</v>
      </c>
      <c r="H580" s="4" t="s">
        <v>44</v>
      </c>
      <c r="I580" s="4" t="s">
        <v>1773</v>
      </c>
      <c r="J580" s="4" t="s">
        <v>1774</v>
      </c>
      <c r="K580" s="5">
        <v>43810</v>
      </c>
      <c r="L580" s="5">
        <v>43855</v>
      </c>
      <c r="M580" s="5">
        <v>43863</v>
      </c>
      <c r="N580" s="6">
        <f t="shared" si="39"/>
        <v>8</v>
      </c>
      <c r="O580" s="4" t="s">
        <v>28</v>
      </c>
      <c r="P580" s="4">
        <v>405</v>
      </c>
      <c r="Q580" s="4"/>
      <c r="R580" s="4" t="str">
        <f t="shared" si="40"/>
        <v>2020</v>
      </c>
      <c r="S580" s="4" t="str">
        <f t="shared" si="41"/>
        <v>January</v>
      </c>
      <c r="T580" s="4">
        <f t="shared" si="42"/>
        <v>405</v>
      </c>
      <c r="U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row>
    <row r="581" spans="1:53" ht="19.95" customHeight="1">
      <c r="A581" s="4">
        <v>580</v>
      </c>
      <c r="B581" s="4" t="s">
        <v>1775</v>
      </c>
      <c r="C581" s="4" t="s">
        <v>20</v>
      </c>
      <c r="D581" s="4"/>
      <c r="E581" s="4" t="s">
        <v>1649</v>
      </c>
      <c r="F581" s="4" t="s">
        <v>23</v>
      </c>
      <c r="G581" s="4" t="s">
        <v>24</v>
      </c>
      <c r="H581" s="4" t="s">
        <v>25</v>
      </c>
      <c r="I581" s="4" t="s">
        <v>1776</v>
      </c>
      <c r="J581" s="4"/>
      <c r="K581" s="5">
        <v>43809</v>
      </c>
      <c r="L581" s="5">
        <v>43832</v>
      </c>
      <c r="M581" s="5">
        <v>43841</v>
      </c>
      <c r="N581" s="6">
        <f t="shared" si="39"/>
        <v>9</v>
      </c>
      <c r="O581" s="4" t="s">
        <v>28</v>
      </c>
      <c r="P581" s="4">
        <v>3780</v>
      </c>
      <c r="Q581" s="4"/>
      <c r="R581" s="4" t="str">
        <f t="shared" si="40"/>
        <v>2020</v>
      </c>
      <c r="S581" s="4" t="str">
        <f t="shared" si="41"/>
        <v>January</v>
      </c>
      <c r="T581" s="4">
        <f t="shared" si="42"/>
        <v>3780</v>
      </c>
      <c r="U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row>
    <row r="582" spans="1:53" ht="19.95" customHeight="1">
      <c r="A582" s="4">
        <v>581</v>
      </c>
      <c r="B582" s="4" t="s">
        <v>1777</v>
      </c>
      <c r="C582" s="4" t="s">
        <v>65</v>
      </c>
      <c r="D582" s="4"/>
      <c r="E582" s="4" t="s">
        <v>1759</v>
      </c>
      <c r="F582" s="4" t="s">
        <v>48</v>
      </c>
      <c r="G582" s="4" t="s">
        <v>24</v>
      </c>
      <c r="H582" s="4" t="s">
        <v>49</v>
      </c>
      <c r="I582" s="4" t="s">
        <v>1778</v>
      </c>
      <c r="J582" s="4" t="s">
        <v>1779</v>
      </c>
      <c r="K582" s="5">
        <v>43809</v>
      </c>
      <c r="L582" s="5">
        <v>43893</v>
      </c>
      <c r="M582" s="5">
        <v>43907</v>
      </c>
      <c r="N582" s="6">
        <f t="shared" si="39"/>
        <v>14</v>
      </c>
      <c r="O582" s="4" t="s">
        <v>28</v>
      </c>
      <c r="P582" s="4">
        <v>7650.46</v>
      </c>
      <c r="Q582" s="4"/>
      <c r="R582" s="4" t="str">
        <f t="shared" si="40"/>
        <v>2020</v>
      </c>
      <c r="S582" s="4" t="str">
        <f t="shared" si="41"/>
        <v>March</v>
      </c>
      <c r="T582" s="4">
        <f t="shared" si="42"/>
        <v>7650.46</v>
      </c>
      <c r="U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row>
    <row r="583" spans="1:53" ht="19.95" customHeight="1">
      <c r="A583" s="4">
        <v>582</v>
      </c>
      <c r="B583" s="4" t="s">
        <v>1780</v>
      </c>
      <c r="C583" s="4" t="s">
        <v>65</v>
      </c>
      <c r="D583" s="4"/>
      <c r="E583" s="4" t="s">
        <v>1759</v>
      </c>
      <c r="F583" s="4" t="s">
        <v>43</v>
      </c>
      <c r="G583" s="4" t="s">
        <v>24</v>
      </c>
      <c r="H583" s="4" t="s">
        <v>44</v>
      </c>
      <c r="I583" s="4" t="s">
        <v>1781</v>
      </c>
      <c r="J583" s="4" t="s">
        <v>1782</v>
      </c>
      <c r="K583" s="5">
        <v>43805</v>
      </c>
      <c r="L583" s="5">
        <v>43859</v>
      </c>
      <c r="M583" s="5">
        <v>43862</v>
      </c>
      <c r="N583" s="6">
        <f t="shared" si="39"/>
        <v>3</v>
      </c>
      <c r="O583" s="4" t="s">
        <v>28</v>
      </c>
      <c r="P583" s="4">
        <v>2738.48</v>
      </c>
      <c r="Q583" s="4"/>
      <c r="R583" s="4" t="str">
        <f t="shared" si="40"/>
        <v>2020</v>
      </c>
      <c r="S583" s="4" t="str">
        <f t="shared" si="41"/>
        <v>January</v>
      </c>
      <c r="T583" s="4">
        <f t="shared" si="42"/>
        <v>2738.48</v>
      </c>
      <c r="U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row>
    <row r="584" spans="1:53" ht="19.95" customHeight="1">
      <c r="A584" s="4">
        <v>583</v>
      </c>
      <c r="B584" s="4" t="s">
        <v>1783</v>
      </c>
      <c r="C584" s="4" t="s">
        <v>20</v>
      </c>
      <c r="D584" s="4"/>
      <c r="E584" s="4" t="s">
        <v>1523</v>
      </c>
      <c r="F584" s="4" t="s">
        <v>589</v>
      </c>
      <c r="G584" s="4" t="s">
        <v>24</v>
      </c>
      <c r="H584" s="4" t="s">
        <v>346</v>
      </c>
      <c r="I584" s="4" t="s">
        <v>1784</v>
      </c>
      <c r="J584" s="4" t="s">
        <v>1785</v>
      </c>
      <c r="K584" s="5">
        <v>43804</v>
      </c>
      <c r="L584" s="5">
        <v>43839</v>
      </c>
      <c r="M584" s="5">
        <v>43846</v>
      </c>
      <c r="N584" s="6">
        <f t="shared" si="39"/>
        <v>7</v>
      </c>
      <c r="O584" s="4" t="s">
        <v>28</v>
      </c>
      <c r="P584" s="4">
        <v>480</v>
      </c>
      <c r="Q584" s="4"/>
      <c r="R584" s="4" t="str">
        <f t="shared" si="40"/>
        <v>2020</v>
      </c>
      <c r="S584" s="4" t="str">
        <f t="shared" si="41"/>
        <v>January</v>
      </c>
      <c r="T584" s="4">
        <f t="shared" si="42"/>
        <v>480</v>
      </c>
      <c r="U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row>
    <row r="585" spans="1:53" ht="19.95" customHeight="1">
      <c r="A585" s="4">
        <v>584</v>
      </c>
      <c r="B585" s="4" t="s">
        <v>1786</v>
      </c>
      <c r="C585" s="4" t="s">
        <v>20</v>
      </c>
      <c r="D585" s="4"/>
      <c r="E585" s="4" t="s">
        <v>1567</v>
      </c>
      <c r="F585" s="4" t="s">
        <v>96</v>
      </c>
      <c r="G585" s="4" t="s">
        <v>24</v>
      </c>
      <c r="H585" s="4" t="s">
        <v>97</v>
      </c>
      <c r="I585" s="4" t="s">
        <v>1787</v>
      </c>
      <c r="J585" s="4" t="s">
        <v>1788</v>
      </c>
      <c r="K585" s="5">
        <v>43804</v>
      </c>
      <c r="L585" s="5">
        <v>43814</v>
      </c>
      <c r="M585" s="5">
        <v>43821</v>
      </c>
      <c r="N585" s="6">
        <f t="shared" si="39"/>
        <v>7</v>
      </c>
      <c r="O585" s="4" t="s">
        <v>28</v>
      </c>
      <c r="P585" s="4">
        <v>5961.04</v>
      </c>
      <c r="Q585" s="4"/>
      <c r="R585" s="4" t="str">
        <f t="shared" si="40"/>
        <v>2019</v>
      </c>
      <c r="S585" s="4" t="str">
        <f t="shared" si="41"/>
        <v>December</v>
      </c>
      <c r="T585" s="4">
        <f t="shared" si="42"/>
        <v>5961.04</v>
      </c>
      <c r="U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row>
    <row r="586" spans="1:53" ht="19.95" customHeight="1">
      <c r="A586" s="4">
        <v>585</v>
      </c>
      <c r="B586" s="4" t="s">
        <v>1789</v>
      </c>
      <c r="C586" s="4" t="s">
        <v>65</v>
      </c>
      <c r="D586" s="4"/>
      <c r="E586" s="4" t="s">
        <v>455</v>
      </c>
      <c r="F586" s="4" t="s">
        <v>1790</v>
      </c>
      <c r="G586" s="4" t="s">
        <v>24</v>
      </c>
      <c r="H586" s="4" t="s">
        <v>1791</v>
      </c>
      <c r="I586" s="4" t="s">
        <v>1792</v>
      </c>
      <c r="J586" s="4" t="s">
        <v>1793</v>
      </c>
      <c r="K586" s="5">
        <v>43804</v>
      </c>
      <c r="L586" s="5">
        <v>43830</v>
      </c>
      <c r="M586" s="5">
        <v>43842</v>
      </c>
      <c r="N586" s="6">
        <f t="shared" si="39"/>
        <v>12</v>
      </c>
      <c r="O586" s="4" t="s">
        <v>28</v>
      </c>
      <c r="P586" s="4">
        <v>1880</v>
      </c>
      <c r="Q586" s="4"/>
      <c r="R586" s="4" t="str">
        <f t="shared" si="40"/>
        <v>2019</v>
      </c>
      <c r="S586" s="4" t="str">
        <f t="shared" si="41"/>
        <v>December</v>
      </c>
      <c r="T586" s="4">
        <f t="shared" si="42"/>
        <v>1880</v>
      </c>
      <c r="U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row>
    <row r="587" spans="1:53" ht="19.95" customHeight="1">
      <c r="A587" s="4">
        <v>586</v>
      </c>
      <c r="B587" s="4" t="s">
        <v>1794</v>
      </c>
      <c r="C587" s="4" t="s">
        <v>65</v>
      </c>
      <c r="D587" s="4"/>
      <c r="E587" s="4" t="s">
        <v>1649</v>
      </c>
      <c r="F587" s="4" t="s">
        <v>43</v>
      </c>
      <c r="G587" s="4" t="s">
        <v>24</v>
      </c>
      <c r="H587" s="4" t="s">
        <v>44</v>
      </c>
      <c r="I587" s="4" t="s">
        <v>1795</v>
      </c>
      <c r="J587" s="4"/>
      <c r="K587" s="5">
        <v>43803</v>
      </c>
      <c r="L587" s="5">
        <v>43830</v>
      </c>
      <c r="M587" s="5">
        <v>43835</v>
      </c>
      <c r="N587" s="6">
        <f t="shared" si="39"/>
        <v>5</v>
      </c>
      <c r="O587" s="4" t="s">
        <v>28</v>
      </c>
      <c r="P587" s="4">
        <v>2065</v>
      </c>
      <c r="Q587" s="4"/>
      <c r="R587" s="4" t="str">
        <f t="shared" si="40"/>
        <v>2019</v>
      </c>
      <c r="S587" s="4" t="str">
        <f t="shared" si="41"/>
        <v>December</v>
      </c>
      <c r="T587" s="4">
        <f t="shared" si="42"/>
        <v>2065</v>
      </c>
      <c r="U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row>
    <row r="588" spans="1:53" ht="19.95" customHeight="1">
      <c r="A588" s="4">
        <v>587</v>
      </c>
      <c r="B588" s="4" t="s">
        <v>1796</v>
      </c>
      <c r="C588" s="4" t="s">
        <v>65</v>
      </c>
      <c r="D588" s="4"/>
      <c r="E588" s="4" t="s">
        <v>1594</v>
      </c>
      <c r="F588" s="4" t="s">
        <v>23</v>
      </c>
      <c r="G588" s="4" t="s">
        <v>24</v>
      </c>
      <c r="H588" s="4" t="s">
        <v>25</v>
      </c>
      <c r="I588" s="4" t="s">
        <v>1797</v>
      </c>
      <c r="J588" s="4"/>
      <c r="K588" s="5">
        <v>43803</v>
      </c>
      <c r="L588" s="5">
        <v>43873</v>
      </c>
      <c r="M588" s="5">
        <v>43879</v>
      </c>
      <c r="N588" s="6">
        <f t="shared" si="39"/>
        <v>6</v>
      </c>
      <c r="O588" s="4" t="s">
        <v>28</v>
      </c>
      <c r="P588" s="4">
        <v>550</v>
      </c>
      <c r="Q588" s="4"/>
      <c r="R588" s="4" t="str">
        <f t="shared" si="40"/>
        <v>2020</v>
      </c>
      <c r="S588" s="4" t="str">
        <f t="shared" si="41"/>
        <v>February</v>
      </c>
      <c r="T588" s="4">
        <f t="shared" si="42"/>
        <v>550</v>
      </c>
      <c r="U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row>
    <row r="589" spans="1:53" ht="19.95" customHeight="1">
      <c r="A589" s="4">
        <v>588</v>
      </c>
      <c r="B589" s="4" t="s">
        <v>1798</v>
      </c>
      <c r="C589" s="4" t="s">
        <v>20</v>
      </c>
      <c r="D589" s="4"/>
      <c r="E589" s="4" t="s">
        <v>1567</v>
      </c>
      <c r="F589" s="4" t="s">
        <v>23</v>
      </c>
      <c r="G589" s="4" t="s">
        <v>24</v>
      </c>
      <c r="H589" s="4" t="s">
        <v>25</v>
      </c>
      <c r="I589" s="4" t="s">
        <v>1799</v>
      </c>
      <c r="J589" s="4" t="s">
        <v>1800</v>
      </c>
      <c r="K589" s="5">
        <v>43801</v>
      </c>
      <c r="L589" s="5">
        <v>43835</v>
      </c>
      <c r="M589" s="5">
        <v>43837</v>
      </c>
      <c r="N589" s="6">
        <f t="shared" si="39"/>
        <v>2</v>
      </c>
      <c r="O589" s="4" t="s">
        <v>28</v>
      </c>
      <c r="P589" s="4">
        <v>3240</v>
      </c>
      <c r="Q589" s="4"/>
      <c r="R589" s="4" t="str">
        <f t="shared" si="40"/>
        <v>2020</v>
      </c>
      <c r="S589" s="4" t="str">
        <f t="shared" si="41"/>
        <v>January</v>
      </c>
      <c r="T589" s="4">
        <f t="shared" si="42"/>
        <v>3240</v>
      </c>
      <c r="U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row>
    <row r="590" spans="1:53" ht="19.95" customHeight="1">
      <c r="A590" s="4">
        <v>589</v>
      </c>
      <c r="B590" s="4" t="s">
        <v>1801</v>
      </c>
      <c r="C590" s="4" t="s">
        <v>20</v>
      </c>
      <c r="D590" s="4"/>
      <c r="E590" s="4" t="s">
        <v>1523</v>
      </c>
      <c r="F590" s="4" t="s">
        <v>23</v>
      </c>
      <c r="G590" s="4" t="s">
        <v>24</v>
      </c>
      <c r="H590" s="4" t="s">
        <v>25</v>
      </c>
      <c r="I590" s="4" t="s">
        <v>1802</v>
      </c>
      <c r="J590" s="4" t="s">
        <v>1803</v>
      </c>
      <c r="K590" s="5">
        <v>43801</v>
      </c>
      <c r="L590" s="5">
        <v>43820</v>
      </c>
      <c r="M590" s="5">
        <v>43832</v>
      </c>
      <c r="N590" s="6">
        <f t="shared" si="39"/>
        <v>12</v>
      </c>
      <c r="O590" s="4" t="s">
        <v>28</v>
      </c>
      <c r="P590" s="4">
        <v>270</v>
      </c>
      <c r="Q590" s="4"/>
      <c r="R590" s="4" t="str">
        <f t="shared" si="40"/>
        <v>2019</v>
      </c>
      <c r="S590" s="4" t="str">
        <f t="shared" si="41"/>
        <v>December</v>
      </c>
      <c r="T590" s="4">
        <f t="shared" si="42"/>
        <v>270</v>
      </c>
      <c r="U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row>
    <row r="591" spans="1:53" ht="19.95" customHeight="1">
      <c r="A591" s="4">
        <v>590</v>
      </c>
      <c r="B591" s="4" t="s">
        <v>1804</v>
      </c>
      <c r="C591" s="4" t="s">
        <v>20</v>
      </c>
      <c r="D591" s="4"/>
      <c r="E591" s="4" t="s">
        <v>1523</v>
      </c>
      <c r="F591" s="4" t="s">
        <v>23</v>
      </c>
      <c r="G591" s="4" t="s">
        <v>24</v>
      </c>
      <c r="H591" s="4" t="s">
        <v>25</v>
      </c>
      <c r="I591" s="4" t="s">
        <v>1805</v>
      </c>
      <c r="J591" s="4" t="s">
        <v>1806</v>
      </c>
      <c r="K591" s="5">
        <v>43800</v>
      </c>
      <c r="L591" s="5">
        <v>43810</v>
      </c>
      <c r="M591" s="5">
        <v>43820</v>
      </c>
      <c r="N591" s="6">
        <f t="shared" si="39"/>
        <v>10</v>
      </c>
      <c r="O591" s="4" t="s">
        <v>28</v>
      </c>
      <c r="P591" s="4">
        <v>484</v>
      </c>
      <c r="Q591" s="4"/>
      <c r="R591" s="4" t="str">
        <f t="shared" si="40"/>
        <v>2019</v>
      </c>
      <c r="S591" s="4" t="str">
        <f t="shared" si="41"/>
        <v>December</v>
      </c>
      <c r="T591" s="4">
        <f t="shared" si="42"/>
        <v>484</v>
      </c>
      <c r="U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row>
    <row r="592" spans="1:53" ht="19.95" customHeight="1">
      <c r="A592" s="4">
        <v>591</v>
      </c>
      <c r="B592" s="4" t="s">
        <v>1807</v>
      </c>
      <c r="C592" s="4" t="s">
        <v>20</v>
      </c>
      <c r="D592" s="4"/>
      <c r="E592" s="4" t="s">
        <v>455</v>
      </c>
      <c r="F592" s="4" t="s">
        <v>96</v>
      </c>
      <c r="G592" s="4" t="s">
        <v>24</v>
      </c>
      <c r="H592" s="4" t="s">
        <v>224</v>
      </c>
      <c r="I592" s="4" t="s">
        <v>1808</v>
      </c>
      <c r="J592" s="4" t="s">
        <v>1809</v>
      </c>
      <c r="K592" s="5">
        <v>43798</v>
      </c>
      <c r="L592" s="5">
        <v>43825</v>
      </c>
      <c r="M592" s="5">
        <v>43832</v>
      </c>
      <c r="N592" s="6">
        <f t="shared" si="39"/>
        <v>7</v>
      </c>
      <c r="O592" s="4" t="s">
        <v>28</v>
      </c>
      <c r="P592" s="4">
        <v>986</v>
      </c>
      <c r="Q592" s="4"/>
      <c r="R592" s="4" t="str">
        <f t="shared" si="40"/>
        <v>2019</v>
      </c>
      <c r="S592" s="4" t="str">
        <f t="shared" si="41"/>
        <v>December</v>
      </c>
      <c r="T592" s="4">
        <f t="shared" si="42"/>
        <v>986</v>
      </c>
      <c r="U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row>
    <row r="593" spans="1:53" ht="19.95" customHeight="1">
      <c r="A593" s="4">
        <v>592</v>
      </c>
      <c r="B593" s="4" t="s">
        <v>1810</v>
      </c>
      <c r="C593" s="4" t="s">
        <v>20</v>
      </c>
      <c r="D593" s="4"/>
      <c r="E593" s="4" t="s">
        <v>1523</v>
      </c>
      <c r="F593" s="4" t="s">
        <v>23</v>
      </c>
      <c r="G593" s="4" t="s">
        <v>24</v>
      </c>
      <c r="H593" s="4" t="s">
        <v>25</v>
      </c>
      <c r="I593" s="4" t="s">
        <v>1811</v>
      </c>
      <c r="J593" s="4" t="s">
        <v>1812</v>
      </c>
      <c r="K593" s="5">
        <v>43797</v>
      </c>
      <c r="L593" s="5">
        <v>43812</v>
      </c>
      <c r="M593" s="5">
        <v>43812</v>
      </c>
      <c r="N593" s="6">
        <f t="shared" si="39"/>
        <v>0</v>
      </c>
      <c r="O593" s="4" t="s">
        <v>28</v>
      </c>
      <c r="P593" s="4">
        <v>110</v>
      </c>
      <c r="Q593" s="4"/>
      <c r="R593" s="4" t="str">
        <f t="shared" si="40"/>
        <v>2019</v>
      </c>
      <c r="S593" s="4" t="str">
        <f t="shared" si="41"/>
        <v>December</v>
      </c>
      <c r="T593" s="4">
        <f t="shared" si="42"/>
        <v>110</v>
      </c>
      <c r="U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row>
    <row r="594" spans="1:53" ht="19.95" customHeight="1">
      <c r="A594" s="4">
        <v>593</v>
      </c>
      <c r="B594" s="4" t="s">
        <v>1813</v>
      </c>
      <c r="C594" s="4" t="s">
        <v>20</v>
      </c>
      <c r="D594" s="4"/>
      <c r="E594" s="4" t="s">
        <v>1814</v>
      </c>
      <c r="F594" s="4" t="s">
        <v>96</v>
      </c>
      <c r="G594" s="4" t="s">
        <v>24</v>
      </c>
      <c r="H594" s="4" t="s">
        <v>97</v>
      </c>
      <c r="I594" s="4" t="s">
        <v>1815</v>
      </c>
      <c r="J594" s="4" t="s">
        <v>1816</v>
      </c>
      <c r="K594" s="5">
        <v>43796</v>
      </c>
      <c r="L594" s="5">
        <v>43850</v>
      </c>
      <c r="M594" s="5">
        <v>43860</v>
      </c>
      <c r="N594" s="6">
        <f t="shared" si="39"/>
        <v>10</v>
      </c>
      <c r="O594" s="4" t="s">
        <v>28</v>
      </c>
      <c r="P594" s="4">
        <v>3486</v>
      </c>
      <c r="Q594" s="4"/>
      <c r="R594" s="4" t="str">
        <f t="shared" si="40"/>
        <v>2020</v>
      </c>
      <c r="S594" s="4" t="str">
        <f t="shared" si="41"/>
        <v>January</v>
      </c>
      <c r="T594" s="4">
        <f t="shared" si="42"/>
        <v>3486</v>
      </c>
      <c r="U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row>
    <row r="595" spans="1:53" ht="19.95" customHeight="1">
      <c r="A595" s="4">
        <v>594</v>
      </c>
      <c r="B595" s="4" t="s">
        <v>1817</v>
      </c>
      <c r="C595" s="4" t="s">
        <v>65</v>
      </c>
      <c r="D595" s="4"/>
      <c r="E595" s="4" t="s">
        <v>1594</v>
      </c>
      <c r="F595" s="4" t="s">
        <v>722</v>
      </c>
      <c r="G595" s="4" t="s">
        <v>24</v>
      </c>
      <c r="H595" s="4" t="s">
        <v>25</v>
      </c>
      <c r="I595" s="4" t="s">
        <v>1818</v>
      </c>
      <c r="J595" s="4" t="s">
        <v>1819</v>
      </c>
      <c r="K595" s="5">
        <v>43795</v>
      </c>
      <c r="L595" s="5">
        <v>43815</v>
      </c>
      <c r="M595" s="5">
        <v>43817</v>
      </c>
      <c r="N595" s="6">
        <f t="shared" si="39"/>
        <v>2</v>
      </c>
      <c r="O595" s="4" t="s">
        <v>28</v>
      </c>
      <c r="P595" s="4">
        <v>1878</v>
      </c>
      <c r="Q595" s="4"/>
      <c r="R595" s="4" t="str">
        <f t="shared" si="40"/>
        <v>2019</v>
      </c>
      <c r="S595" s="4" t="str">
        <f t="shared" si="41"/>
        <v>December</v>
      </c>
      <c r="T595" s="4">
        <f t="shared" si="42"/>
        <v>1878</v>
      </c>
      <c r="U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row>
    <row r="596" spans="1:53" ht="19.95" customHeight="1">
      <c r="A596" s="4">
        <v>595</v>
      </c>
      <c r="B596" s="4" t="s">
        <v>1820</v>
      </c>
      <c r="C596" s="4" t="s">
        <v>20</v>
      </c>
      <c r="D596" s="4"/>
      <c r="E596" s="4" t="s">
        <v>1523</v>
      </c>
      <c r="F596" s="4" t="s">
        <v>23</v>
      </c>
      <c r="G596" s="4" t="s">
        <v>24</v>
      </c>
      <c r="H596" s="4" t="s">
        <v>25</v>
      </c>
      <c r="I596" s="4" t="s">
        <v>1821</v>
      </c>
      <c r="J596" s="4" t="s">
        <v>1822</v>
      </c>
      <c r="K596" s="5">
        <v>43795</v>
      </c>
      <c r="L596" s="5">
        <v>43800</v>
      </c>
      <c r="M596" s="5">
        <v>43805</v>
      </c>
      <c r="N596" s="6">
        <f t="shared" si="39"/>
        <v>5</v>
      </c>
      <c r="O596" s="4" t="s">
        <v>28</v>
      </c>
      <c r="P596" s="4">
        <v>270</v>
      </c>
      <c r="Q596" s="4"/>
      <c r="R596" s="4" t="str">
        <f t="shared" si="40"/>
        <v>2019</v>
      </c>
      <c r="S596" s="4" t="str">
        <f t="shared" si="41"/>
        <v>December</v>
      </c>
      <c r="T596" s="4">
        <f t="shared" si="42"/>
        <v>270</v>
      </c>
      <c r="U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row>
    <row r="597" spans="1:53" ht="19.95" customHeight="1">
      <c r="A597" s="4">
        <v>596</v>
      </c>
      <c r="B597" s="4" t="s">
        <v>1823</v>
      </c>
      <c r="C597" s="4" t="s">
        <v>20</v>
      </c>
      <c r="D597" s="4"/>
      <c r="E597" s="4" t="s">
        <v>1523</v>
      </c>
      <c r="F597" s="4" t="s">
        <v>1824</v>
      </c>
      <c r="G597" s="4" t="s">
        <v>24</v>
      </c>
      <c r="H597" s="4" t="s">
        <v>1825</v>
      </c>
      <c r="I597" s="4" t="s">
        <v>1826</v>
      </c>
      <c r="J597" s="4" t="s">
        <v>1827</v>
      </c>
      <c r="K597" s="5">
        <v>43795</v>
      </c>
      <c r="L597" s="5">
        <v>43814</v>
      </c>
      <c r="M597" s="5">
        <v>43825</v>
      </c>
      <c r="N597" s="6">
        <f t="shared" si="39"/>
        <v>11</v>
      </c>
      <c r="O597" s="4" t="s">
        <v>28</v>
      </c>
      <c r="P597" s="4">
        <v>540</v>
      </c>
      <c r="Q597" s="4"/>
      <c r="R597" s="4" t="str">
        <f t="shared" si="40"/>
        <v>2019</v>
      </c>
      <c r="S597" s="4" t="str">
        <f t="shared" si="41"/>
        <v>December</v>
      </c>
      <c r="T597" s="4">
        <f t="shared" si="42"/>
        <v>540</v>
      </c>
      <c r="U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row>
    <row r="598" spans="1:53" ht="19.95" customHeight="1">
      <c r="A598" s="4">
        <v>597</v>
      </c>
      <c r="B598" s="4" t="s">
        <v>1828</v>
      </c>
      <c r="C598" s="4" t="s">
        <v>20</v>
      </c>
      <c r="D598" s="4"/>
      <c r="E598" s="4" t="s">
        <v>1567</v>
      </c>
      <c r="F598" s="4" t="s">
        <v>24</v>
      </c>
      <c r="G598" s="4" t="s">
        <v>24</v>
      </c>
      <c r="H598" s="4" t="s">
        <v>200</v>
      </c>
      <c r="I598" s="4" t="s">
        <v>1829</v>
      </c>
      <c r="J598" s="4"/>
      <c r="K598" s="5">
        <v>43794</v>
      </c>
      <c r="L598" s="5">
        <v>43800</v>
      </c>
      <c r="M598" s="5">
        <v>43802</v>
      </c>
      <c r="N598" s="6">
        <f t="shared" si="39"/>
        <v>2</v>
      </c>
      <c r="O598" s="4" t="s">
        <v>762</v>
      </c>
      <c r="P598" s="4">
        <v>122000</v>
      </c>
      <c r="Q598" s="4"/>
      <c r="R598" s="4" t="str">
        <f t="shared" si="40"/>
        <v>2019</v>
      </c>
      <c r="S598" s="4" t="str">
        <f t="shared" si="41"/>
        <v>December</v>
      </c>
      <c r="T598" s="4">
        <f t="shared" si="42"/>
        <v>122000</v>
      </c>
      <c r="U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row>
    <row r="599" spans="1:53" ht="19.95" customHeight="1">
      <c r="A599" s="4">
        <v>598</v>
      </c>
      <c r="B599" s="4" t="s">
        <v>1830</v>
      </c>
      <c r="C599" s="4" t="s">
        <v>65</v>
      </c>
      <c r="D599" s="4"/>
      <c r="E599" s="4" t="s">
        <v>1594</v>
      </c>
      <c r="F599" s="4" t="s">
        <v>23</v>
      </c>
      <c r="G599" s="4" t="s">
        <v>24</v>
      </c>
      <c r="H599" s="4" t="s">
        <v>25</v>
      </c>
      <c r="I599" s="4" t="s">
        <v>1831</v>
      </c>
      <c r="J599" s="4"/>
      <c r="K599" s="5">
        <v>43794</v>
      </c>
      <c r="L599" s="5">
        <v>43828</v>
      </c>
      <c r="M599" s="5">
        <v>43839</v>
      </c>
      <c r="N599" s="6">
        <f t="shared" si="39"/>
        <v>11</v>
      </c>
      <c r="O599" s="4" t="s">
        <v>28</v>
      </c>
      <c r="P599" s="4">
        <v>920</v>
      </c>
      <c r="Q599" s="4"/>
      <c r="R599" s="4" t="str">
        <f t="shared" si="40"/>
        <v>2019</v>
      </c>
      <c r="S599" s="4" t="str">
        <f t="shared" si="41"/>
        <v>December</v>
      </c>
      <c r="T599" s="4">
        <f t="shared" si="42"/>
        <v>920</v>
      </c>
      <c r="U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row>
    <row r="600" spans="1:53" ht="19.95" customHeight="1">
      <c r="A600" s="4">
        <v>599</v>
      </c>
      <c r="B600" s="4" t="s">
        <v>1832</v>
      </c>
      <c r="C600" s="4" t="s">
        <v>20</v>
      </c>
      <c r="D600" s="4"/>
      <c r="E600" s="4" t="s">
        <v>1523</v>
      </c>
      <c r="F600" s="4" t="s">
        <v>23</v>
      </c>
      <c r="G600" s="4" t="s">
        <v>24</v>
      </c>
      <c r="H600" s="4" t="s">
        <v>25</v>
      </c>
      <c r="I600" s="4" t="s">
        <v>1833</v>
      </c>
      <c r="J600" s="4" t="s">
        <v>1834</v>
      </c>
      <c r="K600" s="5">
        <v>43791</v>
      </c>
      <c r="L600" s="5">
        <v>43823</v>
      </c>
      <c r="M600" s="5">
        <v>43836</v>
      </c>
      <c r="N600" s="6">
        <f t="shared" si="39"/>
        <v>13</v>
      </c>
      <c r="O600" s="4" t="s">
        <v>28</v>
      </c>
      <c r="P600" s="4">
        <v>798</v>
      </c>
      <c r="Q600" s="4"/>
      <c r="R600" s="4" t="str">
        <f t="shared" si="40"/>
        <v>2019</v>
      </c>
      <c r="S600" s="4" t="str">
        <f t="shared" si="41"/>
        <v>December</v>
      </c>
      <c r="T600" s="4">
        <f t="shared" si="42"/>
        <v>798</v>
      </c>
      <c r="U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row>
    <row r="601" spans="1:53" ht="19.95" customHeight="1">
      <c r="A601" s="4">
        <v>600</v>
      </c>
      <c r="B601" s="4" t="s">
        <v>1835</v>
      </c>
      <c r="C601" s="4" t="s">
        <v>20</v>
      </c>
      <c r="D601" s="4"/>
      <c r="E601" s="4" t="s">
        <v>614</v>
      </c>
      <c r="F601" s="4" t="s">
        <v>48</v>
      </c>
      <c r="G601" s="4" t="s">
        <v>24</v>
      </c>
      <c r="H601" s="4" t="s">
        <v>49</v>
      </c>
      <c r="I601" s="4" t="s">
        <v>1836</v>
      </c>
      <c r="J601" s="4" t="s">
        <v>1837</v>
      </c>
      <c r="K601" s="5">
        <v>43791</v>
      </c>
      <c r="L601" s="5">
        <v>43881</v>
      </c>
      <c r="M601" s="5">
        <v>43893</v>
      </c>
      <c r="N601" s="6">
        <f t="shared" si="39"/>
        <v>12</v>
      </c>
      <c r="O601" s="4" t="s">
        <v>28</v>
      </c>
      <c r="P601" s="4">
        <v>3564</v>
      </c>
      <c r="Q601" s="4"/>
      <c r="R601" s="4" t="str">
        <f t="shared" si="40"/>
        <v>2020</v>
      </c>
      <c r="S601" s="4" t="str">
        <f t="shared" si="41"/>
        <v>February</v>
      </c>
      <c r="T601" s="4">
        <f t="shared" si="42"/>
        <v>3564</v>
      </c>
      <c r="U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row>
    <row r="602" spans="1:53" ht="19.95" customHeight="1">
      <c r="A602" s="4">
        <v>601</v>
      </c>
      <c r="B602" s="4" t="s">
        <v>1838</v>
      </c>
      <c r="C602" s="4" t="s">
        <v>20</v>
      </c>
      <c r="D602" s="4"/>
      <c r="E602" s="4" t="s">
        <v>455</v>
      </c>
      <c r="F602" s="4" t="s">
        <v>23</v>
      </c>
      <c r="G602" s="4" t="s">
        <v>24</v>
      </c>
      <c r="H602" s="4" t="s">
        <v>25</v>
      </c>
      <c r="I602" s="4" t="s">
        <v>1839</v>
      </c>
      <c r="J602" s="4" t="s">
        <v>1840</v>
      </c>
      <c r="K602" s="5">
        <v>43790</v>
      </c>
      <c r="L602" s="5">
        <v>43883</v>
      </c>
      <c r="M602" s="5">
        <v>43897</v>
      </c>
      <c r="N602" s="6">
        <f t="shared" si="39"/>
        <v>14</v>
      </c>
      <c r="O602" s="4" t="s">
        <v>28</v>
      </c>
      <c r="P602" s="4">
        <v>3174</v>
      </c>
      <c r="Q602" s="4"/>
      <c r="R602" s="4" t="str">
        <f t="shared" si="40"/>
        <v>2020</v>
      </c>
      <c r="S602" s="4" t="str">
        <f t="shared" si="41"/>
        <v>February</v>
      </c>
      <c r="T602" s="4">
        <f t="shared" si="42"/>
        <v>3174</v>
      </c>
      <c r="U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row>
    <row r="603" spans="1:53" ht="19.95" customHeight="1">
      <c r="A603" s="4">
        <v>602</v>
      </c>
      <c r="B603" s="4" t="s">
        <v>1841</v>
      </c>
      <c r="C603" s="4" t="s">
        <v>20</v>
      </c>
      <c r="D603" s="4"/>
      <c r="E603" s="4" t="s">
        <v>1523</v>
      </c>
      <c r="F603" s="4" t="s">
        <v>722</v>
      </c>
      <c r="G603" s="4" t="s">
        <v>24</v>
      </c>
      <c r="H603" s="4" t="s">
        <v>200</v>
      </c>
      <c r="I603" s="4" t="s">
        <v>1842</v>
      </c>
      <c r="J603" s="4" t="s">
        <v>1843</v>
      </c>
      <c r="K603" s="5">
        <v>43790</v>
      </c>
      <c r="L603" s="5">
        <v>43797</v>
      </c>
      <c r="M603" s="5">
        <v>43801</v>
      </c>
      <c r="N603" s="6">
        <f t="shared" si="39"/>
        <v>4</v>
      </c>
      <c r="O603" s="4" t="s">
        <v>28</v>
      </c>
      <c r="P603" s="4">
        <v>398</v>
      </c>
      <c r="Q603" s="4"/>
      <c r="R603" s="4" t="str">
        <f t="shared" si="40"/>
        <v>2019</v>
      </c>
      <c r="S603" s="4" t="str">
        <f t="shared" si="41"/>
        <v>November</v>
      </c>
      <c r="T603" s="4">
        <f t="shared" si="42"/>
        <v>398</v>
      </c>
      <c r="U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row>
    <row r="604" spans="1:53" ht="19.95" customHeight="1">
      <c r="A604" s="4">
        <v>603</v>
      </c>
      <c r="B604" s="4" t="s">
        <v>1844</v>
      </c>
      <c r="C604" s="4" t="s">
        <v>20</v>
      </c>
      <c r="D604" s="4"/>
      <c r="E604" s="4" t="s">
        <v>455</v>
      </c>
      <c r="F604" s="4" t="s">
        <v>23</v>
      </c>
      <c r="G604" s="4" t="s">
        <v>24</v>
      </c>
      <c r="H604" s="4" t="s">
        <v>25</v>
      </c>
      <c r="I604" s="4" t="s">
        <v>1845</v>
      </c>
      <c r="J604" s="4" t="s">
        <v>1846</v>
      </c>
      <c r="K604" s="5">
        <v>43788</v>
      </c>
      <c r="L604" s="5">
        <v>43832</v>
      </c>
      <c r="M604" s="5">
        <v>43834</v>
      </c>
      <c r="N604" s="6">
        <f t="shared" ref="N604:N667" si="43">M604-L604</f>
        <v>2</v>
      </c>
      <c r="O604" s="4" t="s">
        <v>28</v>
      </c>
      <c r="P604" s="4">
        <v>324</v>
      </c>
      <c r="Q604" s="4"/>
      <c r="R604" s="4" t="str">
        <f t="shared" si="40"/>
        <v>2020</v>
      </c>
      <c r="S604" s="4" t="str">
        <f t="shared" si="41"/>
        <v>January</v>
      </c>
      <c r="T604" s="4">
        <f t="shared" si="42"/>
        <v>324</v>
      </c>
      <c r="U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row>
    <row r="605" spans="1:53" ht="19.95" customHeight="1">
      <c r="A605" s="4">
        <v>604</v>
      </c>
      <c r="B605" s="4" t="s">
        <v>1847</v>
      </c>
      <c r="C605" s="4" t="s">
        <v>20</v>
      </c>
      <c r="D605" s="4"/>
      <c r="E605" s="4" t="s">
        <v>1625</v>
      </c>
      <c r="F605" s="4" t="s">
        <v>589</v>
      </c>
      <c r="G605" s="4" t="s">
        <v>24</v>
      </c>
      <c r="H605" s="4" t="s">
        <v>346</v>
      </c>
      <c r="I605" s="4" t="s">
        <v>1848</v>
      </c>
      <c r="J605" s="4" t="s">
        <v>1849</v>
      </c>
      <c r="K605" s="5">
        <v>43788</v>
      </c>
      <c r="L605" s="5">
        <v>43818</v>
      </c>
      <c r="M605" s="5">
        <v>43833</v>
      </c>
      <c r="N605" s="6">
        <f t="shared" si="43"/>
        <v>15</v>
      </c>
      <c r="O605" s="4" t="s">
        <v>28</v>
      </c>
      <c r="P605" s="4">
        <v>1040</v>
      </c>
      <c r="Q605" s="4"/>
      <c r="R605" s="4" t="str">
        <f t="shared" si="40"/>
        <v>2019</v>
      </c>
      <c r="S605" s="4" t="str">
        <f t="shared" si="41"/>
        <v>December</v>
      </c>
      <c r="T605" s="4">
        <f t="shared" si="42"/>
        <v>1040</v>
      </c>
      <c r="U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row>
    <row r="606" spans="1:53" ht="19.95" customHeight="1">
      <c r="A606" s="4">
        <v>605</v>
      </c>
      <c r="B606" s="4" t="s">
        <v>1850</v>
      </c>
      <c r="C606" s="4" t="s">
        <v>65</v>
      </c>
      <c r="D606" s="4"/>
      <c r="E606" s="4" t="s">
        <v>1851</v>
      </c>
      <c r="F606" s="4" t="s">
        <v>1852</v>
      </c>
      <c r="G606" s="4" t="s">
        <v>24</v>
      </c>
      <c r="H606" s="4" t="s">
        <v>1852</v>
      </c>
      <c r="I606" s="4" t="s">
        <v>1853</v>
      </c>
      <c r="J606" s="4"/>
      <c r="K606" s="5">
        <v>43787</v>
      </c>
      <c r="L606" s="5">
        <v>43821</v>
      </c>
      <c r="M606" s="5">
        <v>43827</v>
      </c>
      <c r="N606" s="6">
        <f t="shared" si="43"/>
        <v>6</v>
      </c>
      <c r="O606" s="4" t="s">
        <v>28</v>
      </c>
      <c r="P606" s="4">
        <v>22440</v>
      </c>
      <c r="Q606" s="4"/>
      <c r="R606" s="4" t="str">
        <f t="shared" si="40"/>
        <v>2019</v>
      </c>
      <c r="S606" s="4" t="str">
        <f t="shared" si="41"/>
        <v>December</v>
      </c>
      <c r="T606" s="4">
        <f t="shared" si="42"/>
        <v>22440</v>
      </c>
      <c r="U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row>
    <row r="607" spans="1:53" ht="19.95" customHeight="1">
      <c r="A607" s="4">
        <v>606</v>
      </c>
      <c r="B607" s="4" t="s">
        <v>1854</v>
      </c>
      <c r="C607" s="4" t="s">
        <v>20</v>
      </c>
      <c r="D607" s="4"/>
      <c r="E607" s="4" t="s">
        <v>1594</v>
      </c>
      <c r="F607" s="4" t="s">
        <v>23</v>
      </c>
      <c r="G607" s="4" t="s">
        <v>24</v>
      </c>
      <c r="H607" s="4" t="s">
        <v>25</v>
      </c>
      <c r="I607" s="4" t="s">
        <v>1855</v>
      </c>
      <c r="J607" s="4" t="s">
        <v>1856</v>
      </c>
      <c r="K607" s="5">
        <v>43782</v>
      </c>
      <c r="L607" s="5">
        <v>43893</v>
      </c>
      <c r="M607" s="5">
        <v>43922</v>
      </c>
      <c r="N607" s="6">
        <f t="shared" si="43"/>
        <v>29</v>
      </c>
      <c r="O607" s="4" t="s">
        <v>28</v>
      </c>
      <c r="P607" s="4">
        <v>4706.2</v>
      </c>
      <c r="Q607" s="4"/>
      <c r="R607" s="4" t="str">
        <f t="shared" si="40"/>
        <v>2020</v>
      </c>
      <c r="S607" s="4" t="str">
        <f t="shared" si="41"/>
        <v>March</v>
      </c>
      <c r="T607" s="4">
        <f t="shared" si="42"/>
        <v>4706.2</v>
      </c>
      <c r="U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row>
    <row r="608" spans="1:53" ht="19.95" customHeight="1">
      <c r="A608" s="4">
        <v>607</v>
      </c>
      <c r="B608" s="4" t="s">
        <v>1857</v>
      </c>
      <c r="C608" s="4" t="s">
        <v>20</v>
      </c>
      <c r="D608" s="4"/>
      <c r="E608" s="4" t="s">
        <v>1523</v>
      </c>
      <c r="F608" s="4" t="s">
        <v>48</v>
      </c>
      <c r="G608" s="4" t="s">
        <v>24</v>
      </c>
      <c r="H608" s="4" t="s">
        <v>49</v>
      </c>
      <c r="I608" s="4" t="s">
        <v>1858</v>
      </c>
      <c r="J608" s="4" t="s">
        <v>1859</v>
      </c>
      <c r="K608" s="5">
        <v>43782</v>
      </c>
      <c r="L608" s="5">
        <v>43836</v>
      </c>
      <c r="M608" s="5">
        <v>43843</v>
      </c>
      <c r="N608" s="6">
        <f t="shared" si="43"/>
        <v>7</v>
      </c>
      <c r="O608" s="4" t="s">
        <v>28</v>
      </c>
      <c r="P608" s="4">
        <v>400</v>
      </c>
      <c r="Q608" s="4"/>
      <c r="R608" s="4" t="str">
        <f t="shared" si="40"/>
        <v>2020</v>
      </c>
      <c r="S608" s="4" t="str">
        <f t="shared" si="41"/>
        <v>January</v>
      </c>
      <c r="T608" s="4">
        <f t="shared" si="42"/>
        <v>400</v>
      </c>
      <c r="U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row>
    <row r="609" spans="1:53" ht="19.95" customHeight="1">
      <c r="A609" s="4">
        <v>608</v>
      </c>
      <c r="B609" s="4" t="s">
        <v>1860</v>
      </c>
      <c r="C609" s="4" t="s">
        <v>65</v>
      </c>
      <c r="D609" s="4"/>
      <c r="E609" s="4" t="s">
        <v>1861</v>
      </c>
      <c r="F609" s="4" t="s">
        <v>24</v>
      </c>
      <c r="G609" s="4" t="s">
        <v>24</v>
      </c>
      <c r="H609" s="4" t="s">
        <v>200</v>
      </c>
      <c r="I609" s="4" t="s">
        <v>1862</v>
      </c>
      <c r="J609" s="4"/>
      <c r="K609" s="5">
        <v>43775</v>
      </c>
      <c r="L609" s="5">
        <v>43644</v>
      </c>
      <c r="M609" s="5">
        <v>43645</v>
      </c>
      <c r="N609" s="6">
        <f t="shared" si="43"/>
        <v>1</v>
      </c>
      <c r="O609" s="4" t="s">
        <v>28</v>
      </c>
      <c r="P609" s="4">
        <v>3271.27</v>
      </c>
      <c r="Q609" s="4"/>
      <c r="R609" s="4" t="str">
        <f t="shared" si="40"/>
        <v>2019</v>
      </c>
      <c r="S609" s="4" t="str">
        <f t="shared" si="41"/>
        <v>June</v>
      </c>
      <c r="T609" s="4">
        <f t="shared" si="42"/>
        <v>3271.27</v>
      </c>
      <c r="U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row>
    <row r="610" spans="1:53" ht="19.95" customHeight="1">
      <c r="A610" s="4">
        <v>609</v>
      </c>
      <c r="B610" s="4" t="s">
        <v>1863</v>
      </c>
      <c r="C610" s="4" t="s">
        <v>65</v>
      </c>
      <c r="D610" s="4"/>
      <c r="E610" s="4" t="s">
        <v>455</v>
      </c>
      <c r="F610" s="4" t="s">
        <v>23</v>
      </c>
      <c r="G610" s="4" t="s">
        <v>24</v>
      </c>
      <c r="H610" s="4" t="s">
        <v>25</v>
      </c>
      <c r="I610" s="4" t="s">
        <v>1864</v>
      </c>
      <c r="J610" s="4" t="s">
        <v>1865</v>
      </c>
      <c r="K610" s="5">
        <v>43775</v>
      </c>
      <c r="L610" s="5">
        <v>43827</v>
      </c>
      <c r="M610" s="5">
        <v>43837</v>
      </c>
      <c r="N610" s="6">
        <f t="shared" si="43"/>
        <v>10</v>
      </c>
      <c r="O610" s="4" t="s">
        <v>28</v>
      </c>
      <c r="P610" s="4">
        <v>7328.02</v>
      </c>
      <c r="Q610" s="4"/>
      <c r="R610" s="4" t="str">
        <f t="shared" si="40"/>
        <v>2019</v>
      </c>
      <c r="S610" s="4" t="str">
        <f t="shared" si="41"/>
        <v>December</v>
      </c>
      <c r="T610" s="4">
        <f t="shared" si="42"/>
        <v>7328.02</v>
      </c>
      <c r="U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row>
    <row r="611" spans="1:53" ht="19.95" customHeight="1">
      <c r="A611" s="4">
        <v>610</v>
      </c>
      <c r="B611" s="4" t="s">
        <v>1866</v>
      </c>
      <c r="C611" s="4" t="s">
        <v>20</v>
      </c>
      <c r="D611" s="4"/>
      <c r="E611" s="4" t="s">
        <v>1523</v>
      </c>
      <c r="F611" s="4" t="s">
        <v>23</v>
      </c>
      <c r="G611" s="4" t="s">
        <v>24</v>
      </c>
      <c r="H611" s="4" t="s">
        <v>25</v>
      </c>
      <c r="I611" s="4" t="s">
        <v>1867</v>
      </c>
      <c r="J611" s="4" t="s">
        <v>1868</v>
      </c>
      <c r="K611" s="5">
        <v>43774</v>
      </c>
      <c r="L611" s="5">
        <v>43829</v>
      </c>
      <c r="M611" s="5">
        <v>43837</v>
      </c>
      <c r="N611" s="6">
        <f t="shared" si="43"/>
        <v>8</v>
      </c>
      <c r="O611" s="4" t="s">
        <v>28</v>
      </c>
      <c r="P611" s="4">
        <v>480</v>
      </c>
      <c r="Q611" s="4"/>
      <c r="R611" s="4" t="str">
        <f t="shared" si="40"/>
        <v>2019</v>
      </c>
      <c r="S611" s="4" t="str">
        <f t="shared" si="41"/>
        <v>December</v>
      </c>
      <c r="T611" s="4">
        <f t="shared" si="42"/>
        <v>480</v>
      </c>
      <c r="U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row>
    <row r="612" spans="1:53" ht="19.95" customHeight="1">
      <c r="A612" s="4">
        <v>611</v>
      </c>
      <c r="B612" s="4" t="s">
        <v>1869</v>
      </c>
      <c r="C612" s="4" t="s">
        <v>65</v>
      </c>
      <c r="D612" s="4"/>
      <c r="E612" s="4" t="s">
        <v>1357</v>
      </c>
      <c r="F612" s="4" t="s">
        <v>589</v>
      </c>
      <c r="G612" s="4" t="s">
        <v>24</v>
      </c>
      <c r="H612" s="4" t="s">
        <v>346</v>
      </c>
      <c r="I612" s="4" t="s">
        <v>1870</v>
      </c>
      <c r="J612" s="4" t="s">
        <v>1871</v>
      </c>
      <c r="K612" s="5">
        <v>43773</v>
      </c>
      <c r="L612" s="5">
        <v>43831</v>
      </c>
      <c r="M612" s="5">
        <v>43841</v>
      </c>
      <c r="N612" s="6">
        <f t="shared" si="43"/>
        <v>10</v>
      </c>
      <c r="O612" s="4" t="s">
        <v>28</v>
      </c>
      <c r="P612" s="4">
        <v>13537.32</v>
      </c>
      <c r="Q612" s="4"/>
      <c r="R612" s="4" t="str">
        <f t="shared" si="40"/>
        <v>2020</v>
      </c>
      <c r="S612" s="4" t="str">
        <f t="shared" si="41"/>
        <v>January</v>
      </c>
      <c r="T612" s="4">
        <f t="shared" si="42"/>
        <v>13537.32</v>
      </c>
      <c r="U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row>
    <row r="613" spans="1:53" ht="19.95" customHeight="1">
      <c r="A613" s="4">
        <v>612</v>
      </c>
      <c r="B613" s="4" t="s">
        <v>1872</v>
      </c>
      <c r="C613" s="4" t="s">
        <v>65</v>
      </c>
      <c r="D613" s="4"/>
      <c r="E613" s="4" t="s">
        <v>1594</v>
      </c>
      <c r="F613" s="4" t="s">
        <v>43</v>
      </c>
      <c r="G613" s="4" t="s">
        <v>24</v>
      </c>
      <c r="H613" s="4" t="s">
        <v>44</v>
      </c>
      <c r="I613" s="4" t="s">
        <v>1873</v>
      </c>
      <c r="J613" s="4"/>
      <c r="K613" s="5">
        <v>43773</v>
      </c>
      <c r="L613" s="5">
        <v>43785</v>
      </c>
      <c r="M613" s="5">
        <v>43799</v>
      </c>
      <c r="N613" s="6">
        <f t="shared" si="43"/>
        <v>14</v>
      </c>
      <c r="O613" s="4" t="s">
        <v>28</v>
      </c>
      <c r="P613" s="4">
        <v>3050.01</v>
      </c>
      <c r="Q613" s="4"/>
      <c r="R613" s="4" t="str">
        <f t="shared" si="40"/>
        <v>2019</v>
      </c>
      <c r="S613" s="4" t="str">
        <f t="shared" si="41"/>
        <v>November</v>
      </c>
      <c r="T613" s="4">
        <f t="shared" si="42"/>
        <v>3050.01</v>
      </c>
      <c r="U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row>
    <row r="614" spans="1:53" ht="19.95" customHeight="1">
      <c r="A614" s="4">
        <v>613</v>
      </c>
      <c r="B614" s="4" t="s">
        <v>1874</v>
      </c>
      <c r="C614" s="4" t="s">
        <v>20</v>
      </c>
      <c r="D614" s="4"/>
      <c r="E614" s="4" t="s">
        <v>1594</v>
      </c>
      <c r="F614" s="4" t="s">
        <v>23</v>
      </c>
      <c r="G614" s="4" t="s">
        <v>24</v>
      </c>
      <c r="H614" s="4" t="s">
        <v>25</v>
      </c>
      <c r="I614" s="4" t="s">
        <v>1435</v>
      </c>
      <c r="J614" s="4"/>
      <c r="K614" s="5">
        <v>43773</v>
      </c>
      <c r="L614" s="5">
        <v>43825</v>
      </c>
      <c r="M614" s="5">
        <v>43828</v>
      </c>
      <c r="N614" s="6">
        <f t="shared" si="43"/>
        <v>3</v>
      </c>
      <c r="O614" s="4" t="s">
        <v>28</v>
      </c>
      <c r="P614" s="4">
        <v>780</v>
      </c>
      <c r="Q614" s="4"/>
      <c r="R614" s="4" t="str">
        <f t="shared" si="40"/>
        <v>2019</v>
      </c>
      <c r="S614" s="4" t="str">
        <f t="shared" si="41"/>
        <v>December</v>
      </c>
      <c r="T614" s="4">
        <f t="shared" si="42"/>
        <v>780</v>
      </c>
      <c r="U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row>
    <row r="615" spans="1:53" ht="19.95" customHeight="1">
      <c r="A615" s="4">
        <v>614</v>
      </c>
      <c r="B615" s="4" t="s">
        <v>1875</v>
      </c>
      <c r="C615" s="4" t="s">
        <v>65</v>
      </c>
      <c r="D615" s="4"/>
      <c r="E615" s="4" t="s">
        <v>1693</v>
      </c>
      <c r="F615" s="4" t="s">
        <v>116</v>
      </c>
      <c r="G615" s="4" t="s">
        <v>24</v>
      </c>
      <c r="H615" s="4" t="s">
        <v>117</v>
      </c>
      <c r="I615" s="4" t="s">
        <v>1876</v>
      </c>
      <c r="J615" s="4"/>
      <c r="K615" s="5">
        <v>43769</v>
      </c>
      <c r="L615" s="5">
        <v>43800</v>
      </c>
      <c r="M615" s="5">
        <v>43821</v>
      </c>
      <c r="N615" s="6">
        <f t="shared" si="43"/>
        <v>21</v>
      </c>
      <c r="O615" s="4" t="s">
        <v>28</v>
      </c>
      <c r="P615" s="4">
        <v>20360.47</v>
      </c>
      <c r="Q615" s="4"/>
      <c r="R615" s="4" t="str">
        <f t="shared" si="40"/>
        <v>2019</v>
      </c>
      <c r="S615" s="4" t="str">
        <f t="shared" si="41"/>
        <v>December</v>
      </c>
      <c r="T615" s="4">
        <f t="shared" si="42"/>
        <v>20360.47</v>
      </c>
      <c r="U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row>
    <row r="616" spans="1:53" ht="19.95" customHeight="1">
      <c r="A616" s="4">
        <v>615</v>
      </c>
      <c r="B616" s="4" t="s">
        <v>1877</v>
      </c>
      <c r="C616" s="4" t="s">
        <v>20</v>
      </c>
      <c r="D616" s="4"/>
      <c r="E616" s="4" t="s">
        <v>614</v>
      </c>
      <c r="F616" s="4" t="s">
        <v>23</v>
      </c>
      <c r="G616" s="4" t="s">
        <v>24</v>
      </c>
      <c r="H616" s="4" t="s">
        <v>200</v>
      </c>
      <c r="I616" s="4" t="s">
        <v>1878</v>
      </c>
      <c r="J616" s="4" t="s">
        <v>1879</v>
      </c>
      <c r="K616" s="5">
        <v>43769</v>
      </c>
      <c r="L616" s="5">
        <v>43868</v>
      </c>
      <c r="M616" s="5">
        <v>43884</v>
      </c>
      <c r="N616" s="6">
        <f t="shared" si="43"/>
        <v>16</v>
      </c>
      <c r="O616" s="4" t="s">
        <v>334</v>
      </c>
      <c r="P616" s="4">
        <v>4393.01</v>
      </c>
      <c r="Q616" s="4"/>
      <c r="R616" s="4" t="str">
        <f t="shared" si="40"/>
        <v>2020</v>
      </c>
      <c r="S616" s="4" t="str">
        <f t="shared" si="41"/>
        <v>February</v>
      </c>
      <c r="T616" s="4">
        <f t="shared" si="42"/>
        <v>4393.01</v>
      </c>
      <c r="U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row>
    <row r="617" spans="1:53" ht="19.95" customHeight="1">
      <c r="A617" s="4">
        <v>616</v>
      </c>
      <c r="B617" s="4" t="s">
        <v>1880</v>
      </c>
      <c r="C617" s="4" t="s">
        <v>65</v>
      </c>
      <c r="D617" s="4"/>
      <c r="E617" s="4" t="s">
        <v>1881</v>
      </c>
      <c r="F617" s="4" t="s">
        <v>1385</v>
      </c>
      <c r="G617" s="4" t="s">
        <v>24</v>
      </c>
      <c r="H617" s="4" t="s">
        <v>1386</v>
      </c>
      <c r="I617" s="4" t="s">
        <v>1882</v>
      </c>
      <c r="J617" s="4"/>
      <c r="K617" s="5">
        <v>43769</v>
      </c>
      <c r="L617" s="5">
        <v>43820</v>
      </c>
      <c r="M617" s="5">
        <v>43850</v>
      </c>
      <c r="N617" s="6">
        <f t="shared" si="43"/>
        <v>30</v>
      </c>
      <c r="O617" s="4" t="s">
        <v>28</v>
      </c>
      <c r="P617" s="4">
        <v>2369.87</v>
      </c>
      <c r="Q617" s="4"/>
      <c r="R617" s="4" t="str">
        <f t="shared" si="40"/>
        <v>2019</v>
      </c>
      <c r="S617" s="4" t="str">
        <f t="shared" si="41"/>
        <v>December</v>
      </c>
      <c r="T617" s="4">
        <f t="shared" si="42"/>
        <v>2369.87</v>
      </c>
      <c r="U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row>
    <row r="618" spans="1:53" ht="19.95" customHeight="1">
      <c r="A618" s="4">
        <v>617</v>
      </c>
      <c r="B618" s="4" t="s">
        <v>1883</v>
      </c>
      <c r="C618" s="4" t="s">
        <v>65</v>
      </c>
      <c r="D618" s="4"/>
      <c r="E618" s="4" t="s">
        <v>455</v>
      </c>
      <c r="F618" s="4" t="s">
        <v>48</v>
      </c>
      <c r="G618" s="4" t="s">
        <v>24</v>
      </c>
      <c r="H618" s="4" t="s">
        <v>49</v>
      </c>
      <c r="I618" s="4" t="s">
        <v>1884</v>
      </c>
      <c r="J618" s="4" t="s">
        <v>1885</v>
      </c>
      <c r="K618" s="5">
        <v>43769</v>
      </c>
      <c r="L618" s="5">
        <v>43822</v>
      </c>
      <c r="M618" s="5">
        <v>43835</v>
      </c>
      <c r="N618" s="6">
        <f t="shared" si="43"/>
        <v>13</v>
      </c>
      <c r="O618" s="4" t="s">
        <v>28</v>
      </c>
      <c r="P618" s="4">
        <v>935</v>
      </c>
      <c r="Q618" s="4"/>
      <c r="R618" s="4" t="str">
        <f t="shared" si="40"/>
        <v>2019</v>
      </c>
      <c r="S618" s="4" t="str">
        <f t="shared" si="41"/>
        <v>December</v>
      </c>
      <c r="T618" s="4">
        <f t="shared" si="42"/>
        <v>935</v>
      </c>
      <c r="U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row>
    <row r="619" spans="1:53" ht="19.95" customHeight="1">
      <c r="A619" s="4">
        <v>618</v>
      </c>
      <c r="B619" s="4" t="s">
        <v>1886</v>
      </c>
      <c r="C619" s="4" t="s">
        <v>20</v>
      </c>
      <c r="D619" s="4"/>
      <c r="E619" s="4" t="s">
        <v>1523</v>
      </c>
      <c r="F619" s="4" t="s">
        <v>23</v>
      </c>
      <c r="G619" s="4" t="s">
        <v>24</v>
      </c>
      <c r="H619" s="4" t="s">
        <v>25</v>
      </c>
      <c r="I619" s="4" t="s">
        <v>1887</v>
      </c>
      <c r="J619" s="4" t="s">
        <v>1888</v>
      </c>
      <c r="K619" s="5">
        <v>43769</v>
      </c>
      <c r="L619" s="5">
        <v>43862</v>
      </c>
      <c r="M619" s="5">
        <v>43942</v>
      </c>
      <c r="N619" s="6">
        <f t="shared" si="43"/>
        <v>80</v>
      </c>
      <c r="O619" s="4" t="s">
        <v>28</v>
      </c>
      <c r="P619" s="4">
        <v>384</v>
      </c>
      <c r="Q619" s="4"/>
      <c r="R619" s="4" t="str">
        <f t="shared" si="40"/>
        <v>2020</v>
      </c>
      <c r="S619" s="4" t="str">
        <f t="shared" si="41"/>
        <v>February</v>
      </c>
      <c r="T619" s="4">
        <f t="shared" si="42"/>
        <v>384</v>
      </c>
      <c r="U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row>
    <row r="620" spans="1:53" ht="19.95" customHeight="1">
      <c r="A620" s="4">
        <v>619</v>
      </c>
      <c r="B620" s="4" t="s">
        <v>1889</v>
      </c>
      <c r="C620" s="4" t="s">
        <v>20</v>
      </c>
      <c r="D620" s="4"/>
      <c r="E620" s="4" t="s">
        <v>1594</v>
      </c>
      <c r="F620" s="4" t="s">
        <v>23</v>
      </c>
      <c r="G620" s="4" t="s">
        <v>24</v>
      </c>
      <c r="H620" s="4" t="s">
        <v>25</v>
      </c>
      <c r="I620" s="4" t="s">
        <v>1890</v>
      </c>
      <c r="J620" s="4"/>
      <c r="K620" s="5">
        <v>43769</v>
      </c>
      <c r="L620" s="5">
        <v>43852</v>
      </c>
      <c r="M620" s="5">
        <v>43873</v>
      </c>
      <c r="N620" s="6">
        <f t="shared" si="43"/>
        <v>21</v>
      </c>
      <c r="O620" s="4" t="s">
        <v>28</v>
      </c>
      <c r="P620" s="4">
        <v>8995.02</v>
      </c>
      <c r="Q620" s="4"/>
      <c r="R620" s="4" t="str">
        <f t="shared" si="40"/>
        <v>2020</v>
      </c>
      <c r="S620" s="4" t="str">
        <f t="shared" si="41"/>
        <v>January</v>
      </c>
      <c r="T620" s="4">
        <f t="shared" si="42"/>
        <v>8995.02</v>
      </c>
      <c r="U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row>
    <row r="621" spans="1:53" ht="19.95" customHeight="1">
      <c r="A621" s="4">
        <v>620</v>
      </c>
      <c r="B621" s="4" t="s">
        <v>1891</v>
      </c>
      <c r="C621" s="4" t="s">
        <v>20</v>
      </c>
      <c r="D621" s="4"/>
      <c r="E621" s="4" t="s">
        <v>455</v>
      </c>
      <c r="F621" s="4" t="s">
        <v>23</v>
      </c>
      <c r="G621" s="4" t="s">
        <v>24</v>
      </c>
      <c r="H621" s="4" t="s">
        <v>25</v>
      </c>
      <c r="I621" s="4" t="s">
        <v>1892</v>
      </c>
      <c r="J621" s="4" t="s">
        <v>1893</v>
      </c>
      <c r="K621" s="5">
        <v>43766</v>
      </c>
      <c r="L621" s="5">
        <v>43863</v>
      </c>
      <c r="M621" s="5">
        <v>43879</v>
      </c>
      <c r="N621" s="6">
        <f t="shared" si="43"/>
        <v>16</v>
      </c>
      <c r="O621" s="4" t="s">
        <v>28</v>
      </c>
      <c r="P621" s="4">
        <v>2668.03</v>
      </c>
      <c r="Q621" s="4"/>
      <c r="R621" s="4" t="str">
        <f t="shared" si="40"/>
        <v>2020</v>
      </c>
      <c r="S621" s="4" t="str">
        <f t="shared" si="41"/>
        <v>February</v>
      </c>
      <c r="T621" s="4">
        <f t="shared" si="42"/>
        <v>2668.03</v>
      </c>
      <c r="U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row>
    <row r="622" spans="1:53" ht="19.95" customHeight="1">
      <c r="A622" s="4">
        <v>621</v>
      </c>
      <c r="B622" s="4" t="s">
        <v>1894</v>
      </c>
      <c r="C622" s="4" t="s">
        <v>65</v>
      </c>
      <c r="D622" s="4"/>
      <c r="E622" s="4" t="s">
        <v>455</v>
      </c>
      <c r="F622" s="4" t="s">
        <v>331</v>
      </c>
      <c r="G622" s="4" t="s">
        <v>24</v>
      </c>
      <c r="H622" s="4" t="s">
        <v>331</v>
      </c>
      <c r="I622" s="4" t="s">
        <v>1895</v>
      </c>
      <c r="J622" s="4" t="s">
        <v>1896</v>
      </c>
      <c r="K622" s="5">
        <v>43766</v>
      </c>
      <c r="L622" s="5">
        <v>43833</v>
      </c>
      <c r="M622" s="5">
        <v>43838</v>
      </c>
      <c r="N622" s="6">
        <f t="shared" si="43"/>
        <v>5</v>
      </c>
      <c r="O622" s="4" t="s">
        <v>28</v>
      </c>
      <c r="P622" s="4">
        <v>2102</v>
      </c>
      <c r="Q622" s="4"/>
      <c r="R622" s="4" t="str">
        <f t="shared" si="40"/>
        <v>2020</v>
      </c>
      <c r="S622" s="4" t="str">
        <f t="shared" si="41"/>
        <v>January</v>
      </c>
      <c r="T622" s="4">
        <f t="shared" si="42"/>
        <v>2102</v>
      </c>
      <c r="U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row>
    <row r="623" spans="1:53" ht="19.95" customHeight="1">
      <c r="A623" s="4">
        <v>622</v>
      </c>
      <c r="B623" s="4" t="s">
        <v>1897</v>
      </c>
      <c r="C623" s="4" t="s">
        <v>20</v>
      </c>
      <c r="D623" s="4"/>
      <c r="E623" s="4" t="s">
        <v>614</v>
      </c>
      <c r="F623" s="4" t="s">
        <v>23</v>
      </c>
      <c r="G623" s="4" t="s">
        <v>24</v>
      </c>
      <c r="H623" s="4" t="s">
        <v>25</v>
      </c>
      <c r="I623" s="4" t="s">
        <v>1898</v>
      </c>
      <c r="J623" s="4" t="s">
        <v>1899</v>
      </c>
      <c r="K623" s="5">
        <v>43764</v>
      </c>
      <c r="L623" s="5">
        <v>43866</v>
      </c>
      <c r="M623" s="5">
        <v>43876</v>
      </c>
      <c r="N623" s="6">
        <f t="shared" si="43"/>
        <v>10</v>
      </c>
      <c r="O623" s="4" t="s">
        <v>28</v>
      </c>
      <c r="P623" s="4">
        <v>16126.25</v>
      </c>
      <c r="Q623" s="4"/>
      <c r="R623" s="4" t="str">
        <f t="shared" si="40"/>
        <v>2020</v>
      </c>
      <c r="S623" s="4" t="str">
        <f t="shared" si="41"/>
        <v>February</v>
      </c>
      <c r="T623" s="4">
        <f t="shared" si="42"/>
        <v>16126.25</v>
      </c>
      <c r="U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row>
    <row r="624" spans="1:53" ht="19.95" customHeight="1">
      <c r="A624" s="4">
        <v>623</v>
      </c>
      <c r="B624" s="4" t="s">
        <v>1900</v>
      </c>
      <c r="C624" s="4" t="s">
        <v>20</v>
      </c>
      <c r="D624" s="4"/>
      <c r="E624" s="4" t="s">
        <v>455</v>
      </c>
      <c r="F624" s="4" t="s">
        <v>1901</v>
      </c>
      <c r="G624" s="4" t="s">
        <v>24</v>
      </c>
      <c r="H624" s="4" t="s">
        <v>44</v>
      </c>
      <c r="I624" s="4" t="s">
        <v>1902</v>
      </c>
      <c r="J624" s="4" t="s">
        <v>1903</v>
      </c>
      <c r="K624" s="5">
        <v>43763</v>
      </c>
      <c r="L624" s="5">
        <v>43829</v>
      </c>
      <c r="M624" s="5">
        <v>43832</v>
      </c>
      <c r="N624" s="6">
        <f t="shared" si="43"/>
        <v>3</v>
      </c>
      <c r="O624" s="4" t="s">
        <v>28</v>
      </c>
      <c r="P624" s="4">
        <v>5586</v>
      </c>
      <c r="Q624" s="4"/>
      <c r="R624" s="4" t="str">
        <f t="shared" si="40"/>
        <v>2019</v>
      </c>
      <c r="S624" s="4" t="str">
        <f t="shared" si="41"/>
        <v>December</v>
      </c>
      <c r="T624" s="4">
        <f t="shared" si="42"/>
        <v>5586</v>
      </c>
      <c r="U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row>
    <row r="625" spans="1:53" ht="19.95" customHeight="1">
      <c r="A625" s="4">
        <v>624</v>
      </c>
      <c r="B625" s="4" t="s">
        <v>1904</v>
      </c>
      <c r="C625" s="4" t="s">
        <v>20</v>
      </c>
      <c r="D625" s="4"/>
      <c r="E625" s="4" t="s">
        <v>614</v>
      </c>
      <c r="F625" s="4" t="s">
        <v>23</v>
      </c>
      <c r="G625" s="4" t="s">
        <v>24</v>
      </c>
      <c r="H625" s="4" t="s">
        <v>25</v>
      </c>
      <c r="I625" s="4" t="s">
        <v>1905</v>
      </c>
      <c r="J625" s="4" t="s">
        <v>1906</v>
      </c>
      <c r="K625" s="5">
        <v>43763</v>
      </c>
      <c r="L625" s="5">
        <v>43848</v>
      </c>
      <c r="M625" s="5">
        <v>43865</v>
      </c>
      <c r="N625" s="6">
        <f t="shared" si="43"/>
        <v>17</v>
      </c>
      <c r="O625" s="4" t="s">
        <v>334</v>
      </c>
      <c r="P625" s="4">
        <v>3697</v>
      </c>
      <c r="Q625" s="4"/>
      <c r="R625" s="4" t="str">
        <f t="shared" si="40"/>
        <v>2020</v>
      </c>
      <c r="S625" s="4" t="str">
        <f t="shared" si="41"/>
        <v>January</v>
      </c>
      <c r="T625" s="4">
        <f t="shared" si="42"/>
        <v>3697</v>
      </c>
      <c r="U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row>
    <row r="626" spans="1:53" ht="19.95" customHeight="1">
      <c r="A626" s="4">
        <v>625</v>
      </c>
      <c r="B626" s="4" t="s">
        <v>1907</v>
      </c>
      <c r="C626" s="4" t="s">
        <v>65</v>
      </c>
      <c r="D626" s="4"/>
      <c r="E626" s="4" t="s">
        <v>1357</v>
      </c>
      <c r="F626" s="4" t="s">
        <v>589</v>
      </c>
      <c r="G626" s="4" t="s">
        <v>24</v>
      </c>
      <c r="H626" s="4" t="s">
        <v>346</v>
      </c>
      <c r="I626" s="4" t="s">
        <v>1908</v>
      </c>
      <c r="J626" s="4" t="s">
        <v>1909</v>
      </c>
      <c r="K626" s="5">
        <v>43762</v>
      </c>
      <c r="L626" s="5">
        <v>43784</v>
      </c>
      <c r="M626" s="5">
        <v>43798</v>
      </c>
      <c r="N626" s="6">
        <f t="shared" si="43"/>
        <v>14</v>
      </c>
      <c r="O626" s="4" t="s">
        <v>28</v>
      </c>
      <c r="P626" s="4">
        <v>0</v>
      </c>
      <c r="Q626" s="4"/>
      <c r="R626" s="4" t="str">
        <f t="shared" si="40"/>
        <v>2019</v>
      </c>
      <c r="S626" s="4" t="str">
        <f t="shared" si="41"/>
        <v>November</v>
      </c>
      <c r="T626" s="4">
        <f t="shared" si="42"/>
        <v>0</v>
      </c>
      <c r="U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row>
    <row r="627" spans="1:53" ht="19.95" customHeight="1">
      <c r="A627" s="4">
        <v>626</v>
      </c>
      <c r="B627" s="4" t="s">
        <v>1910</v>
      </c>
      <c r="C627" s="4" t="s">
        <v>20</v>
      </c>
      <c r="D627" s="4"/>
      <c r="E627" s="4" t="s">
        <v>1861</v>
      </c>
      <c r="F627" s="4" t="s">
        <v>776</v>
      </c>
      <c r="G627" s="4" t="s">
        <v>24</v>
      </c>
      <c r="H627" s="4" t="s">
        <v>1911</v>
      </c>
      <c r="I627" s="4" t="s">
        <v>1912</v>
      </c>
      <c r="J627" s="4"/>
      <c r="K627" s="5">
        <v>43760</v>
      </c>
      <c r="L627" s="5">
        <v>43684</v>
      </c>
      <c r="M627" s="5">
        <v>43686</v>
      </c>
      <c r="N627" s="6">
        <f t="shared" si="43"/>
        <v>2</v>
      </c>
      <c r="O627" s="4" t="s">
        <v>28</v>
      </c>
      <c r="P627" s="4">
        <v>516.01</v>
      </c>
      <c r="Q627" s="4"/>
      <c r="R627" s="4" t="str">
        <f t="shared" si="40"/>
        <v>2019</v>
      </c>
      <c r="S627" s="4" t="str">
        <f t="shared" si="41"/>
        <v>August</v>
      </c>
      <c r="T627" s="4">
        <f t="shared" si="42"/>
        <v>516.01</v>
      </c>
      <c r="U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row>
    <row r="628" spans="1:53" ht="19.95" customHeight="1">
      <c r="A628" s="4">
        <v>627</v>
      </c>
      <c r="B628" s="4" t="s">
        <v>1913</v>
      </c>
      <c r="C628" s="4" t="s">
        <v>20</v>
      </c>
      <c r="D628" s="4"/>
      <c r="E628" s="4" t="s">
        <v>614</v>
      </c>
      <c r="F628" s="4" t="s">
        <v>23</v>
      </c>
      <c r="G628" s="4" t="s">
        <v>24</v>
      </c>
      <c r="H628" s="4" t="s">
        <v>25</v>
      </c>
      <c r="I628" s="4" t="s">
        <v>1914</v>
      </c>
      <c r="J628" s="4" t="s">
        <v>1915</v>
      </c>
      <c r="K628" s="5">
        <v>43759</v>
      </c>
      <c r="L628" s="5">
        <v>43814</v>
      </c>
      <c r="M628" s="5">
        <v>43841</v>
      </c>
      <c r="N628" s="6">
        <f t="shared" si="43"/>
        <v>27</v>
      </c>
      <c r="O628" s="4" t="s">
        <v>334</v>
      </c>
      <c r="P628" s="4">
        <v>4883.04</v>
      </c>
      <c r="Q628" s="4"/>
      <c r="R628" s="4" t="str">
        <f t="shared" si="40"/>
        <v>2019</v>
      </c>
      <c r="S628" s="4" t="str">
        <f t="shared" si="41"/>
        <v>December</v>
      </c>
      <c r="T628" s="4">
        <f t="shared" si="42"/>
        <v>4883.04</v>
      </c>
      <c r="U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row>
    <row r="629" spans="1:53" ht="19.95" customHeight="1">
      <c r="A629" s="4">
        <v>628</v>
      </c>
      <c r="B629" s="4" t="s">
        <v>1916</v>
      </c>
      <c r="C629" s="4" t="s">
        <v>20</v>
      </c>
      <c r="D629" s="4"/>
      <c r="E629" s="4" t="s">
        <v>614</v>
      </c>
      <c r="F629" s="4" t="s">
        <v>43</v>
      </c>
      <c r="G629" s="4" t="s">
        <v>24</v>
      </c>
      <c r="H629" s="4" t="s">
        <v>44</v>
      </c>
      <c r="I629" s="4" t="s">
        <v>1917</v>
      </c>
      <c r="J629" s="4" t="s">
        <v>1918</v>
      </c>
      <c r="K629" s="5">
        <v>43759</v>
      </c>
      <c r="L629" s="5">
        <v>43877</v>
      </c>
      <c r="M629" s="5">
        <v>43890</v>
      </c>
      <c r="N629" s="6">
        <f t="shared" si="43"/>
        <v>13</v>
      </c>
      <c r="O629" s="4" t="s">
        <v>28</v>
      </c>
      <c r="P629" s="4">
        <v>4150</v>
      </c>
      <c r="Q629" s="4"/>
      <c r="R629" s="4" t="str">
        <f t="shared" si="40"/>
        <v>2020</v>
      </c>
      <c r="S629" s="4" t="str">
        <f t="shared" si="41"/>
        <v>February</v>
      </c>
      <c r="T629" s="4">
        <f t="shared" si="42"/>
        <v>4150</v>
      </c>
      <c r="U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row>
    <row r="630" spans="1:53" ht="19.95" customHeight="1">
      <c r="A630" s="4">
        <v>629</v>
      </c>
      <c r="B630" s="4" t="s">
        <v>1919</v>
      </c>
      <c r="C630" s="4" t="s">
        <v>65</v>
      </c>
      <c r="D630" s="4"/>
      <c r="E630" s="4" t="s">
        <v>455</v>
      </c>
      <c r="F630" s="4" t="s">
        <v>48</v>
      </c>
      <c r="G630" s="4" t="s">
        <v>24</v>
      </c>
      <c r="H630" s="4" t="s">
        <v>49</v>
      </c>
      <c r="I630" s="4" t="s">
        <v>1920</v>
      </c>
      <c r="J630" s="4" t="s">
        <v>1921</v>
      </c>
      <c r="K630" s="5">
        <v>43757</v>
      </c>
      <c r="L630" s="5">
        <v>43894</v>
      </c>
      <c r="M630" s="5">
        <v>43917</v>
      </c>
      <c r="N630" s="6">
        <f t="shared" si="43"/>
        <v>23</v>
      </c>
      <c r="O630" s="4" t="s">
        <v>28</v>
      </c>
      <c r="P630" s="4">
        <v>4818.76</v>
      </c>
      <c r="Q630" s="4"/>
      <c r="R630" s="4" t="str">
        <f t="shared" si="40"/>
        <v>2020</v>
      </c>
      <c r="S630" s="4" t="str">
        <f t="shared" si="41"/>
        <v>March</v>
      </c>
      <c r="T630" s="4">
        <f t="shared" si="42"/>
        <v>4818.76</v>
      </c>
      <c r="U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row>
    <row r="631" spans="1:53" ht="19.95" customHeight="1">
      <c r="A631" s="4">
        <v>630</v>
      </c>
      <c r="B631" s="4" t="s">
        <v>1922</v>
      </c>
      <c r="C631" s="4" t="s">
        <v>65</v>
      </c>
      <c r="D631" s="4"/>
      <c r="E631" s="4" t="s">
        <v>1523</v>
      </c>
      <c r="F631" s="4" t="s">
        <v>589</v>
      </c>
      <c r="G631" s="4" t="s">
        <v>24</v>
      </c>
      <c r="H631" s="4" t="s">
        <v>346</v>
      </c>
      <c r="I631" s="4" t="s">
        <v>1923</v>
      </c>
      <c r="J631" s="4"/>
      <c r="K631" s="5">
        <v>43756</v>
      </c>
      <c r="L631" s="5">
        <v>43758</v>
      </c>
      <c r="M631" s="5">
        <v>43773</v>
      </c>
      <c r="N631" s="6">
        <f t="shared" si="43"/>
        <v>15</v>
      </c>
      <c r="O631" s="4" t="s">
        <v>28</v>
      </c>
      <c r="P631" s="4">
        <v>500.44</v>
      </c>
      <c r="Q631" s="4"/>
      <c r="R631" s="4" t="str">
        <f t="shared" si="40"/>
        <v>2019</v>
      </c>
      <c r="S631" s="4" t="str">
        <f t="shared" si="41"/>
        <v>October</v>
      </c>
      <c r="T631" s="4">
        <f t="shared" si="42"/>
        <v>500.44</v>
      </c>
      <c r="U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row>
    <row r="632" spans="1:53" ht="19.95" customHeight="1">
      <c r="A632" s="4">
        <v>631</v>
      </c>
      <c r="B632" s="4" t="s">
        <v>1924</v>
      </c>
      <c r="C632" s="4" t="s">
        <v>65</v>
      </c>
      <c r="D632" s="4"/>
      <c r="E632" s="4" t="s">
        <v>455</v>
      </c>
      <c r="F632" s="4" t="s">
        <v>96</v>
      </c>
      <c r="G632" s="4" t="s">
        <v>24</v>
      </c>
      <c r="H632" s="4" t="s">
        <v>25</v>
      </c>
      <c r="I632" s="4" t="s">
        <v>1925</v>
      </c>
      <c r="J632" s="4" t="s">
        <v>1926</v>
      </c>
      <c r="K632" s="5">
        <v>43756</v>
      </c>
      <c r="L632" s="5">
        <v>43829</v>
      </c>
      <c r="M632" s="5">
        <v>43834</v>
      </c>
      <c r="N632" s="6">
        <f t="shared" si="43"/>
        <v>5</v>
      </c>
      <c r="O632" s="4" t="s">
        <v>28</v>
      </c>
      <c r="P632" s="4">
        <v>5954</v>
      </c>
      <c r="Q632" s="4"/>
      <c r="R632" s="4" t="str">
        <f t="shared" si="40"/>
        <v>2019</v>
      </c>
      <c r="S632" s="4" t="str">
        <f t="shared" si="41"/>
        <v>December</v>
      </c>
      <c r="T632" s="4">
        <f t="shared" si="42"/>
        <v>5954</v>
      </c>
      <c r="U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row>
    <row r="633" spans="1:53" ht="19.95" customHeight="1">
      <c r="A633" s="4">
        <v>632</v>
      </c>
      <c r="B633" s="4" t="s">
        <v>1927</v>
      </c>
      <c r="C633" s="4" t="s">
        <v>20</v>
      </c>
      <c r="D633" s="4"/>
      <c r="E633" s="4" t="s">
        <v>1507</v>
      </c>
      <c r="F633" s="4" t="s">
        <v>23</v>
      </c>
      <c r="G633" s="4" t="s">
        <v>24</v>
      </c>
      <c r="H633" s="4" t="s">
        <v>25</v>
      </c>
      <c r="I633" s="4" t="s">
        <v>1928</v>
      </c>
      <c r="J633" s="4" t="s">
        <v>1929</v>
      </c>
      <c r="K633" s="5">
        <v>43755</v>
      </c>
      <c r="L633" s="5">
        <v>43779</v>
      </c>
      <c r="M633" s="5">
        <v>43779</v>
      </c>
      <c r="N633" s="6">
        <f t="shared" si="43"/>
        <v>0</v>
      </c>
      <c r="O633" s="4" t="s">
        <v>28</v>
      </c>
      <c r="P633" s="4">
        <v>2430</v>
      </c>
      <c r="Q633" s="4"/>
      <c r="R633" s="4" t="str">
        <f t="shared" si="40"/>
        <v>2019</v>
      </c>
      <c r="S633" s="4" t="str">
        <f t="shared" si="41"/>
        <v>November</v>
      </c>
      <c r="T633" s="4">
        <f t="shared" si="42"/>
        <v>2430</v>
      </c>
      <c r="U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row>
    <row r="634" spans="1:53" ht="19.95" customHeight="1">
      <c r="A634" s="4">
        <v>633</v>
      </c>
      <c r="B634" s="4" t="s">
        <v>1930</v>
      </c>
      <c r="C634" s="4" t="s">
        <v>20</v>
      </c>
      <c r="D634" s="4"/>
      <c r="E634" s="4" t="s">
        <v>614</v>
      </c>
      <c r="F634" s="4" t="s">
        <v>23</v>
      </c>
      <c r="G634" s="4" t="s">
        <v>24</v>
      </c>
      <c r="H634" s="4" t="s">
        <v>25</v>
      </c>
      <c r="I634" s="4" t="s">
        <v>1931</v>
      </c>
      <c r="J634" s="4" t="s">
        <v>1932</v>
      </c>
      <c r="K634" s="5">
        <v>43753</v>
      </c>
      <c r="L634" s="5">
        <v>43842</v>
      </c>
      <c r="M634" s="5">
        <v>43857</v>
      </c>
      <c r="N634" s="6">
        <f t="shared" si="43"/>
        <v>15</v>
      </c>
      <c r="O634" s="4" t="s">
        <v>334</v>
      </c>
      <c r="P634" s="4">
        <v>6097.04</v>
      </c>
      <c r="Q634" s="4"/>
      <c r="R634" s="4" t="str">
        <f t="shared" si="40"/>
        <v>2020</v>
      </c>
      <c r="S634" s="4" t="str">
        <f t="shared" si="41"/>
        <v>January</v>
      </c>
      <c r="T634" s="4">
        <f t="shared" si="42"/>
        <v>6097.04</v>
      </c>
      <c r="U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row>
    <row r="635" spans="1:53" ht="19.95" customHeight="1">
      <c r="A635" s="4">
        <v>634</v>
      </c>
      <c r="B635" s="4" t="s">
        <v>1933</v>
      </c>
      <c r="C635" s="4" t="s">
        <v>65</v>
      </c>
      <c r="D635" s="4"/>
      <c r="E635" s="4" t="s">
        <v>1934</v>
      </c>
      <c r="F635" s="4" t="s">
        <v>23</v>
      </c>
      <c r="G635" s="4" t="s">
        <v>24</v>
      </c>
      <c r="H635" s="4" t="s">
        <v>25</v>
      </c>
      <c r="I635" s="4" t="s">
        <v>1935</v>
      </c>
      <c r="J635" s="4" t="s">
        <v>1936</v>
      </c>
      <c r="K635" s="5">
        <v>43753</v>
      </c>
      <c r="L635" s="5">
        <v>43817</v>
      </c>
      <c r="M635" s="5">
        <v>43822</v>
      </c>
      <c r="N635" s="6">
        <f t="shared" si="43"/>
        <v>5</v>
      </c>
      <c r="O635" s="4" t="s">
        <v>28</v>
      </c>
      <c r="P635" s="4">
        <v>445</v>
      </c>
      <c r="Q635" s="4"/>
      <c r="R635" s="4" t="str">
        <f t="shared" si="40"/>
        <v>2019</v>
      </c>
      <c r="S635" s="4" t="str">
        <f t="shared" si="41"/>
        <v>December</v>
      </c>
      <c r="T635" s="4">
        <f t="shared" si="42"/>
        <v>445</v>
      </c>
      <c r="U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row>
    <row r="636" spans="1:53" ht="19.95" customHeight="1">
      <c r="A636" s="4">
        <v>635</v>
      </c>
      <c r="B636" s="4" t="s">
        <v>1937</v>
      </c>
      <c r="C636" s="4" t="s">
        <v>65</v>
      </c>
      <c r="D636" s="4"/>
      <c r="E636" s="4" t="s">
        <v>455</v>
      </c>
      <c r="F636" s="4" t="s">
        <v>43</v>
      </c>
      <c r="G636" s="4" t="s">
        <v>24</v>
      </c>
      <c r="H636" s="4" t="s">
        <v>44</v>
      </c>
      <c r="I636" s="4" t="s">
        <v>1938</v>
      </c>
      <c r="J636" s="4" t="s">
        <v>1939</v>
      </c>
      <c r="K636" s="5">
        <v>43752</v>
      </c>
      <c r="L636" s="5">
        <v>43849</v>
      </c>
      <c r="M636" s="5">
        <v>43863</v>
      </c>
      <c r="N636" s="6">
        <f t="shared" si="43"/>
        <v>14</v>
      </c>
      <c r="O636" s="4" t="s">
        <v>28</v>
      </c>
      <c r="P636" s="4">
        <v>18299.990000000002</v>
      </c>
      <c r="Q636" s="4"/>
      <c r="R636" s="4" t="str">
        <f t="shared" si="40"/>
        <v>2020</v>
      </c>
      <c r="S636" s="4" t="str">
        <f t="shared" si="41"/>
        <v>January</v>
      </c>
      <c r="T636" s="4">
        <f t="shared" si="42"/>
        <v>18299.990000000002</v>
      </c>
      <c r="U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row>
    <row r="637" spans="1:53" ht="19.95" customHeight="1">
      <c r="A637" s="4">
        <v>636</v>
      </c>
      <c r="B637" s="4" t="s">
        <v>1940</v>
      </c>
      <c r="C637" s="4" t="s">
        <v>65</v>
      </c>
      <c r="D637" s="4"/>
      <c r="E637" s="4" t="s">
        <v>455</v>
      </c>
      <c r="F637" s="4" t="s">
        <v>48</v>
      </c>
      <c r="G637" s="4" t="s">
        <v>24</v>
      </c>
      <c r="H637" s="4" t="s">
        <v>49</v>
      </c>
      <c r="I637" s="4" t="s">
        <v>1941</v>
      </c>
      <c r="J637" s="4" t="s">
        <v>1942</v>
      </c>
      <c r="K637" s="5">
        <v>43749</v>
      </c>
      <c r="L637" s="5">
        <v>43758</v>
      </c>
      <c r="M637" s="5">
        <v>43764</v>
      </c>
      <c r="N637" s="6">
        <f t="shared" si="43"/>
        <v>6</v>
      </c>
      <c r="O637" s="4" t="s">
        <v>28</v>
      </c>
      <c r="P637" s="4">
        <v>1722.27</v>
      </c>
      <c r="Q637" s="4"/>
      <c r="R637" s="4" t="str">
        <f t="shared" si="40"/>
        <v>2019</v>
      </c>
      <c r="S637" s="4" t="str">
        <f t="shared" si="41"/>
        <v>October</v>
      </c>
      <c r="T637" s="4">
        <f t="shared" si="42"/>
        <v>1722.27</v>
      </c>
      <c r="U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row>
    <row r="638" spans="1:53" ht="19.95" customHeight="1">
      <c r="A638" s="4">
        <v>637</v>
      </c>
      <c r="B638" s="4" t="s">
        <v>1943</v>
      </c>
      <c r="C638" s="4" t="s">
        <v>20</v>
      </c>
      <c r="D638" s="4"/>
      <c r="E638" s="4" t="s">
        <v>614</v>
      </c>
      <c r="F638" s="4" t="s">
        <v>48</v>
      </c>
      <c r="G638" s="4" t="s">
        <v>24</v>
      </c>
      <c r="H638" s="4" t="s">
        <v>49</v>
      </c>
      <c r="I638" s="4" t="s">
        <v>1944</v>
      </c>
      <c r="J638" s="4" t="s">
        <v>1945</v>
      </c>
      <c r="K638" s="5">
        <v>43748</v>
      </c>
      <c r="L638" s="5">
        <v>43779</v>
      </c>
      <c r="M638" s="5">
        <v>43792</v>
      </c>
      <c r="N638" s="6">
        <f t="shared" si="43"/>
        <v>13</v>
      </c>
      <c r="O638" s="4" t="s">
        <v>28</v>
      </c>
      <c r="P638" s="4">
        <v>4750.01</v>
      </c>
      <c r="Q638" s="4"/>
      <c r="R638" s="4" t="str">
        <f t="shared" si="40"/>
        <v>2019</v>
      </c>
      <c r="S638" s="4" t="str">
        <f t="shared" si="41"/>
        <v>November</v>
      </c>
      <c r="T638" s="4">
        <f t="shared" si="42"/>
        <v>4750.01</v>
      </c>
      <c r="U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row>
    <row r="639" spans="1:53" ht="19.95" customHeight="1">
      <c r="A639" s="4">
        <v>638</v>
      </c>
      <c r="B639" s="4" t="s">
        <v>1946</v>
      </c>
      <c r="C639" s="4" t="s">
        <v>65</v>
      </c>
      <c r="D639" s="4"/>
      <c r="E639" s="4" t="s">
        <v>1649</v>
      </c>
      <c r="F639" s="4" t="s">
        <v>48</v>
      </c>
      <c r="G639" s="4" t="s">
        <v>24</v>
      </c>
      <c r="H639" s="4" t="s">
        <v>49</v>
      </c>
      <c r="I639" s="4" t="s">
        <v>1947</v>
      </c>
      <c r="J639" s="4" t="s">
        <v>1948</v>
      </c>
      <c r="K639" s="5">
        <v>43745</v>
      </c>
      <c r="L639" s="5">
        <v>43863</v>
      </c>
      <c r="M639" s="5">
        <v>43883</v>
      </c>
      <c r="N639" s="6">
        <f t="shared" si="43"/>
        <v>20</v>
      </c>
      <c r="O639" s="4" t="s">
        <v>28</v>
      </c>
      <c r="P639" s="4">
        <v>11435</v>
      </c>
      <c r="Q639" s="4"/>
      <c r="R639" s="4" t="str">
        <f t="shared" si="40"/>
        <v>2020</v>
      </c>
      <c r="S639" s="4" t="str">
        <f t="shared" si="41"/>
        <v>February</v>
      </c>
      <c r="T639" s="4">
        <f t="shared" si="42"/>
        <v>11435</v>
      </c>
      <c r="U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row>
    <row r="640" spans="1:53" ht="19.95" customHeight="1">
      <c r="A640" s="4">
        <v>639</v>
      </c>
      <c r="B640" s="4" t="s">
        <v>1949</v>
      </c>
      <c r="C640" s="4" t="s">
        <v>20</v>
      </c>
      <c r="D640" s="4"/>
      <c r="E640" s="4" t="s">
        <v>1567</v>
      </c>
      <c r="F640" s="4" t="s">
        <v>904</v>
      </c>
      <c r="G640" s="4" t="s">
        <v>24</v>
      </c>
      <c r="H640" s="4" t="s">
        <v>905</v>
      </c>
      <c r="I640" s="4" t="s">
        <v>1950</v>
      </c>
      <c r="J640" s="4" t="s">
        <v>1951</v>
      </c>
      <c r="K640" s="5">
        <v>43740</v>
      </c>
      <c r="L640" s="5">
        <v>43847</v>
      </c>
      <c r="M640" s="5">
        <v>43863</v>
      </c>
      <c r="N640" s="6">
        <f t="shared" si="43"/>
        <v>16</v>
      </c>
      <c r="O640" s="4" t="s">
        <v>28</v>
      </c>
      <c r="P640" s="4">
        <v>7536.03</v>
      </c>
      <c r="Q640" s="4"/>
      <c r="R640" s="4" t="str">
        <f t="shared" si="40"/>
        <v>2020</v>
      </c>
      <c r="S640" s="4" t="str">
        <f t="shared" si="41"/>
        <v>January</v>
      </c>
      <c r="T640" s="4">
        <f t="shared" si="42"/>
        <v>7536.03</v>
      </c>
      <c r="U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row>
    <row r="641" spans="1:53" ht="19.95" customHeight="1">
      <c r="A641" s="4">
        <v>640</v>
      </c>
      <c r="B641" s="4" t="s">
        <v>1952</v>
      </c>
      <c r="C641" s="4" t="s">
        <v>20</v>
      </c>
      <c r="D641" s="4"/>
      <c r="E641" s="4" t="s">
        <v>1594</v>
      </c>
      <c r="F641" s="4" t="s">
        <v>24</v>
      </c>
      <c r="G641" s="4" t="s">
        <v>24</v>
      </c>
      <c r="H641" s="4" t="s">
        <v>200</v>
      </c>
      <c r="I641" s="4" t="s">
        <v>1953</v>
      </c>
      <c r="J641" s="4"/>
      <c r="K641" s="5">
        <v>43740</v>
      </c>
      <c r="L641" s="5">
        <v>43741</v>
      </c>
      <c r="M641" s="5">
        <v>43742</v>
      </c>
      <c r="N641" s="6">
        <f t="shared" si="43"/>
        <v>1</v>
      </c>
      <c r="O641" s="4" t="s">
        <v>28</v>
      </c>
      <c r="P641" s="4">
        <v>0</v>
      </c>
      <c r="Q641" s="4"/>
      <c r="R641" s="4" t="str">
        <f t="shared" si="40"/>
        <v>2019</v>
      </c>
      <c r="S641" s="4" t="str">
        <f t="shared" si="41"/>
        <v>October</v>
      </c>
      <c r="T641" s="4">
        <f t="shared" si="42"/>
        <v>0</v>
      </c>
      <c r="U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row>
    <row r="642" spans="1:53" ht="19.95" customHeight="1">
      <c r="A642" s="4">
        <v>641</v>
      </c>
      <c r="B642" s="4" t="s">
        <v>1954</v>
      </c>
      <c r="C642" s="4" t="s">
        <v>20</v>
      </c>
      <c r="D642" s="4"/>
      <c r="E642" s="4" t="s">
        <v>1567</v>
      </c>
      <c r="F642" s="4" t="s">
        <v>23</v>
      </c>
      <c r="G642" s="4" t="s">
        <v>24</v>
      </c>
      <c r="H642" s="4" t="s">
        <v>25</v>
      </c>
      <c r="I642" s="4" t="s">
        <v>1955</v>
      </c>
      <c r="J642" s="4" t="s">
        <v>1956</v>
      </c>
      <c r="K642" s="5">
        <v>43740</v>
      </c>
      <c r="L642" s="5">
        <v>43743</v>
      </c>
      <c r="M642" s="5">
        <v>43757</v>
      </c>
      <c r="N642" s="6">
        <f t="shared" si="43"/>
        <v>14</v>
      </c>
      <c r="O642" s="4" t="s">
        <v>28</v>
      </c>
      <c r="P642" s="4">
        <v>3491.93</v>
      </c>
      <c r="Q642" s="4"/>
      <c r="R642" s="4" t="str">
        <f t="shared" ref="R642:R705" si="44">TEXT(L642,"YYY")</f>
        <v>2019</v>
      </c>
      <c r="S642" s="4" t="str">
        <f t="shared" ref="S642:S705" si="45">TEXT(L642,"MMMM")</f>
        <v>October</v>
      </c>
      <c r="T642" s="4">
        <f t="shared" ref="T642:T705" si="46">P642</f>
        <v>3491.93</v>
      </c>
      <c r="U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row>
    <row r="643" spans="1:53" ht="19.95" customHeight="1">
      <c r="A643" s="4">
        <v>642</v>
      </c>
      <c r="B643" s="4" t="s">
        <v>1957</v>
      </c>
      <c r="C643" s="4" t="s">
        <v>20</v>
      </c>
      <c r="D643" s="4"/>
      <c r="E643" s="4" t="s">
        <v>1594</v>
      </c>
      <c r="F643" s="4" t="s">
        <v>23</v>
      </c>
      <c r="G643" s="4" t="s">
        <v>24</v>
      </c>
      <c r="H643" s="4" t="s">
        <v>25</v>
      </c>
      <c r="I643" s="4" t="s">
        <v>1958</v>
      </c>
      <c r="J643" s="4" t="s">
        <v>1959</v>
      </c>
      <c r="K643" s="5">
        <v>43739</v>
      </c>
      <c r="L643" s="5">
        <v>43793</v>
      </c>
      <c r="M643" s="5">
        <v>43805</v>
      </c>
      <c r="N643" s="6">
        <f t="shared" si="43"/>
        <v>12</v>
      </c>
      <c r="O643" s="4" t="s">
        <v>28</v>
      </c>
      <c r="P643" s="4">
        <v>6390</v>
      </c>
      <c r="Q643" s="4"/>
      <c r="R643" s="4" t="str">
        <f t="shared" si="44"/>
        <v>2019</v>
      </c>
      <c r="S643" s="4" t="str">
        <f t="shared" si="45"/>
        <v>November</v>
      </c>
      <c r="T643" s="4">
        <f t="shared" si="46"/>
        <v>6390</v>
      </c>
      <c r="U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row>
    <row r="644" spans="1:53" ht="19.95" customHeight="1">
      <c r="A644" s="4">
        <v>643</v>
      </c>
      <c r="B644" s="4" t="s">
        <v>1960</v>
      </c>
      <c r="C644" s="4" t="s">
        <v>20</v>
      </c>
      <c r="D644" s="4"/>
      <c r="E644" s="4" t="s">
        <v>1523</v>
      </c>
      <c r="F644" s="4" t="s">
        <v>24</v>
      </c>
      <c r="G644" s="4" t="s">
        <v>24</v>
      </c>
      <c r="H644" s="4" t="s">
        <v>200</v>
      </c>
      <c r="I644" s="4" t="s">
        <v>1961</v>
      </c>
      <c r="J644" s="4" t="s">
        <v>1962</v>
      </c>
      <c r="K644" s="5">
        <v>43737</v>
      </c>
      <c r="L644" s="5">
        <v>43776</v>
      </c>
      <c r="M644" s="5">
        <v>43784</v>
      </c>
      <c r="N644" s="6">
        <f t="shared" si="43"/>
        <v>8</v>
      </c>
      <c r="O644" s="4" t="s">
        <v>28</v>
      </c>
      <c r="P644" s="4">
        <v>698</v>
      </c>
      <c r="Q644" s="4"/>
      <c r="R644" s="4" t="str">
        <f t="shared" si="44"/>
        <v>2019</v>
      </c>
      <c r="S644" s="4" t="str">
        <f t="shared" si="45"/>
        <v>November</v>
      </c>
      <c r="T644" s="4">
        <f t="shared" si="46"/>
        <v>698</v>
      </c>
      <c r="U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row>
    <row r="645" spans="1:53" ht="19.95" customHeight="1">
      <c r="A645" s="4">
        <v>644</v>
      </c>
      <c r="B645" s="4" t="s">
        <v>1963</v>
      </c>
      <c r="C645" s="4" t="s">
        <v>20</v>
      </c>
      <c r="D645" s="4"/>
      <c r="E645" s="4" t="s">
        <v>1759</v>
      </c>
      <c r="F645" s="4" t="s">
        <v>1159</v>
      </c>
      <c r="G645" s="4" t="s">
        <v>24</v>
      </c>
      <c r="H645" s="4" t="s">
        <v>1160</v>
      </c>
      <c r="I645" s="4" t="s">
        <v>1964</v>
      </c>
      <c r="J645" s="4" t="s">
        <v>1965</v>
      </c>
      <c r="K645" s="5">
        <v>43733</v>
      </c>
      <c r="L645" s="5">
        <v>43821</v>
      </c>
      <c r="M645" s="5">
        <v>43828</v>
      </c>
      <c r="N645" s="6">
        <f t="shared" si="43"/>
        <v>7</v>
      </c>
      <c r="O645" s="4" t="s">
        <v>28</v>
      </c>
      <c r="P645" s="4">
        <v>666.58</v>
      </c>
      <c r="Q645" s="4"/>
      <c r="R645" s="4" t="str">
        <f t="shared" si="44"/>
        <v>2019</v>
      </c>
      <c r="S645" s="4" t="str">
        <f t="shared" si="45"/>
        <v>December</v>
      </c>
      <c r="T645" s="4">
        <f t="shared" si="46"/>
        <v>666.58</v>
      </c>
      <c r="U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row>
    <row r="646" spans="1:53" ht="19.95" customHeight="1">
      <c r="A646" s="4">
        <v>645</v>
      </c>
      <c r="B646" s="4" t="s">
        <v>1966</v>
      </c>
      <c r="C646" s="4" t="s">
        <v>20</v>
      </c>
      <c r="D646" s="4"/>
      <c r="E646" s="4" t="s">
        <v>614</v>
      </c>
      <c r="F646" s="4" t="s">
        <v>48</v>
      </c>
      <c r="G646" s="4" t="s">
        <v>24</v>
      </c>
      <c r="H646" s="4" t="s">
        <v>25</v>
      </c>
      <c r="I646" s="4" t="s">
        <v>1967</v>
      </c>
      <c r="J646" s="4">
        <v>413295889</v>
      </c>
      <c r="K646" s="5">
        <v>43732</v>
      </c>
      <c r="L646" s="5">
        <v>43819</v>
      </c>
      <c r="M646" s="5">
        <v>43828</v>
      </c>
      <c r="N646" s="6">
        <f t="shared" si="43"/>
        <v>9</v>
      </c>
      <c r="O646" s="4" t="s">
        <v>28</v>
      </c>
      <c r="P646" s="4">
        <v>2695</v>
      </c>
      <c r="Q646" s="4"/>
      <c r="R646" s="4" t="str">
        <f t="shared" si="44"/>
        <v>2019</v>
      </c>
      <c r="S646" s="4" t="str">
        <f t="shared" si="45"/>
        <v>December</v>
      </c>
      <c r="T646" s="4">
        <f t="shared" si="46"/>
        <v>2695</v>
      </c>
      <c r="U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row>
    <row r="647" spans="1:53" ht="19.95" customHeight="1">
      <c r="A647" s="4">
        <v>646</v>
      </c>
      <c r="B647" s="4" t="s">
        <v>1968</v>
      </c>
      <c r="C647" s="4" t="s">
        <v>20</v>
      </c>
      <c r="D647" s="4"/>
      <c r="E647" s="4" t="s">
        <v>1594</v>
      </c>
      <c r="F647" s="4" t="s">
        <v>223</v>
      </c>
      <c r="G647" s="4" t="s">
        <v>24</v>
      </c>
      <c r="H647" s="4" t="s">
        <v>224</v>
      </c>
      <c r="I647" s="4" t="s">
        <v>1969</v>
      </c>
      <c r="J647" s="4" t="s">
        <v>1970</v>
      </c>
      <c r="K647" s="5">
        <v>43731</v>
      </c>
      <c r="L647" s="5">
        <v>43733</v>
      </c>
      <c r="M647" s="5">
        <v>43735</v>
      </c>
      <c r="N647" s="6">
        <f t="shared" si="43"/>
        <v>2</v>
      </c>
      <c r="O647" s="4" t="s">
        <v>28</v>
      </c>
      <c r="P647" s="4">
        <v>545.59</v>
      </c>
      <c r="Q647" s="4"/>
      <c r="R647" s="4" t="str">
        <f t="shared" si="44"/>
        <v>2019</v>
      </c>
      <c r="S647" s="4" t="str">
        <f t="shared" si="45"/>
        <v>September</v>
      </c>
      <c r="T647" s="4">
        <f t="shared" si="46"/>
        <v>545.59</v>
      </c>
      <c r="U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row>
    <row r="648" spans="1:53" ht="19.95" customHeight="1">
      <c r="A648" s="4">
        <v>647</v>
      </c>
      <c r="B648" s="4" t="s">
        <v>1971</v>
      </c>
      <c r="C648" s="4" t="s">
        <v>65</v>
      </c>
      <c r="D648" s="4"/>
      <c r="E648" s="4" t="s">
        <v>1594</v>
      </c>
      <c r="F648" s="4" t="s">
        <v>96</v>
      </c>
      <c r="G648" s="4" t="s">
        <v>24</v>
      </c>
      <c r="H648" s="4" t="s">
        <v>97</v>
      </c>
      <c r="I648" s="4" t="s">
        <v>1972</v>
      </c>
      <c r="J648" s="4"/>
      <c r="K648" s="5">
        <v>43731</v>
      </c>
      <c r="L648" s="5">
        <v>43732</v>
      </c>
      <c r="M648" s="5">
        <v>43732</v>
      </c>
      <c r="N648" s="6">
        <f t="shared" si="43"/>
        <v>0</v>
      </c>
      <c r="O648" s="4" t="s">
        <v>28</v>
      </c>
      <c r="P648" s="4">
        <v>120</v>
      </c>
      <c r="Q648" s="4"/>
      <c r="R648" s="4" t="str">
        <f t="shared" si="44"/>
        <v>2019</v>
      </c>
      <c r="S648" s="4" t="str">
        <f t="shared" si="45"/>
        <v>September</v>
      </c>
      <c r="T648" s="4">
        <f t="shared" si="46"/>
        <v>120</v>
      </c>
      <c r="U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row>
    <row r="649" spans="1:53" ht="19.95" customHeight="1">
      <c r="A649" s="4">
        <v>648</v>
      </c>
      <c r="B649" s="4" t="s">
        <v>1973</v>
      </c>
      <c r="C649" s="4" t="s">
        <v>20</v>
      </c>
      <c r="D649" s="4"/>
      <c r="E649" s="4" t="s">
        <v>1567</v>
      </c>
      <c r="F649" s="4" t="s">
        <v>1214</v>
      </c>
      <c r="G649" s="4" t="s">
        <v>24</v>
      </c>
      <c r="H649" s="4" t="s">
        <v>1215</v>
      </c>
      <c r="I649" s="4" t="s">
        <v>1974</v>
      </c>
      <c r="J649" s="4" t="s">
        <v>1975</v>
      </c>
      <c r="K649" s="5">
        <v>43728</v>
      </c>
      <c r="L649" s="5">
        <v>43839</v>
      </c>
      <c r="M649" s="5">
        <v>43848</v>
      </c>
      <c r="N649" s="6">
        <f t="shared" si="43"/>
        <v>9</v>
      </c>
      <c r="O649" s="4" t="s">
        <v>28</v>
      </c>
      <c r="P649" s="4">
        <v>2808.83</v>
      </c>
      <c r="Q649" s="4"/>
      <c r="R649" s="4" t="str">
        <f t="shared" si="44"/>
        <v>2020</v>
      </c>
      <c r="S649" s="4" t="str">
        <f t="shared" si="45"/>
        <v>January</v>
      </c>
      <c r="T649" s="4">
        <f t="shared" si="46"/>
        <v>2808.83</v>
      </c>
      <c r="U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row>
    <row r="650" spans="1:53" ht="19.95" customHeight="1">
      <c r="A650" s="4">
        <v>649</v>
      </c>
      <c r="B650" s="4" t="s">
        <v>1976</v>
      </c>
      <c r="C650" s="4" t="s">
        <v>65</v>
      </c>
      <c r="D650" s="4"/>
      <c r="E650" s="4" t="s">
        <v>455</v>
      </c>
      <c r="F650" s="4" t="s">
        <v>48</v>
      </c>
      <c r="G650" s="4" t="s">
        <v>24</v>
      </c>
      <c r="H650" s="4" t="s">
        <v>49</v>
      </c>
      <c r="I650" s="4" t="s">
        <v>1977</v>
      </c>
      <c r="J650" s="4" t="s">
        <v>1978</v>
      </c>
      <c r="K650" s="5">
        <v>43727</v>
      </c>
      <c r="L650" s="5">
        <v>43745</v>
      </c>
      <c r="M650" s="5">
        <v>43752</v>
      </c>
      <c r="N650" s="6">
        <f t="shared" si="43"/>
        <v>7</v>
      </c>
      <c r="O650" s="4" t="s">
        <v>28</v>
      </c>
      <c r="P650" s="4">
        <v>760</v>
      </c>
      <c r="Q650" s="4"/>
      <c r="R650" s="4" t="str">
        <f t="shared" si="44"/>
        <v>2019</v>
      </c>
      <c r="S650" s="4" t="str">
        <f t="shared" si="45"/>
        <v>October</v>
      </c>
      <c r="T650" s="4">
        <f t="shared" si="46"/>
        <v>760</v>
      </c>
      <c r="U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row>
    <row r="651" spans="1:53" ht="19.95" customHeight="1">
      <c r="A651" s="4">
        <v>650</v>
      </c>
      <c r="B651" s="4" t="s">
        <v>1979</v>
      </c>
      <c r="C651" s="4" t="s">
        <v>20</v>
      </c>
      <c r="D651" s="4"/>
      <c r="E651" s="4" t="s">
        <v>1523</v>
      </c>
      <c r="F651" s="4" t="s">
        <v>24</v>
      </c>
      <c r="G651" s="4" t="s">
        <v>24</v>
      </c>
      <c r="H651" s="4" t="s">
        <v>200</v>
      </c>
      <c r="I651" s="4" t="s">
        <v>1980</v>
      </c>
      <c r="J651" s="4" t="s">
        <v>1981</v>
      </c>
      <c r="K651" s="5">
        <v>43727</v>
      </c>
      <c r="L651" s="5">
        <v>43737</v>
      </c>
      <c r="M651" s="5">
        <v>43743</v>
      </c>
      <c r="N651" s="6">
        <f t="shared" si="43"/>
        <v>6</v>
      </c>
      <c r="O651" s="4" t="s">
        <v>28</v>
      </c>
      <c r="P651" s="4">
        <v>300</v>
      </c>
      <c r="Q651" s="4"/>
      <c r="R651" s="4" t="str">
        <f t="shared" si="44"/>
        <v>2019</v>
      </c>
      <c r="S651" s="4" t="str">
        <f t="shared" si="45"/>
        <v>September</v>
      </c>
      <c r="T651" s="4">
        <f t="shared" si="46"/>
        <v>300</v>
      </c>
      <c r="U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row>
    <row r="652" spans="1:53" ht="19.95" customHeight="1">
      <c r="A652" s="4">
        <v>651</v>
      </c>
      <c r="B652" s="4" t="s">
        <v>1982</v>
      </c>
      <c r="C652" s="4" t="s">
        <v>20</v>
      </c>
      <c r="D652" s="4"/>
      <c r="E652" s="4" t="s">
        <v>1567</v>
      </c>
      <c r="F652" s="4" t="s">
        <v>23</v>
      </c>
      <c r="G652" s="4" t="s">
        <v>24</v>
      </c>
      <c r="H652" s="4" t="s">
        <v>25</v>
      </c>
      <c r="I652" s="4" t="s">
        <v>1983</v>
      </c>
      <c r="J652" s="4" t="s">
        <v>1984</v>
      </c>
      <c r="K652" s="5">
        <v>43725</v>
      </c>
      <c r="L652" s="5">
        <v>43750</v>
      </c>
      <c r="M652" s="5">
        <v>43751</v>
      </c>
      <c r="N652" s="6">
        <f t="shared" si="43"/>
        <v>1</v>
      </c>
      <c r="O652" s="4" t="s">
        <v>28</v>
      </c>
      <c r="P652" s="4">
        <v>432.05</v>
      </c>
      <c r="Q652" s="4"/>
      <c r="R652" s="4" t="str">
        <f t="shared" si="44"/>
        <v>2019</v>
      </c>
      <c r="S652" s="4" t="str">
        <f t="shared" si="45"/>
        <v>October</v>
      </c>
      <c r="T652" s="4">
        <f t="shared" si="46"/>
        <v>432.05</v>
      </c>
      <c r="U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row>
    <row r="653" spans="1:53" ht="19.95" customHeight="1">
      <c r="A653" s="4">
        <v>652</v>
      </c>
      <c r="B653" s="4" t="s">
        <v>1985</v>
      </c>
      <c r="C653" s="4" t="s">
        <v>65</v>
      </c>
      <c r="D653" s="4"/>
      <c r="E653" s="4" t="s">
        <v>455</v>
      </c>
      <c r="F653" s="4" t="s">
        <v>43</v>
      </c>
      <c r="G653" s="4" t="s">
        <v>24</v>
      </c>
      <c r="H653" s="4" t="s">
        <v>44</v>
      </c>
      <c r="I653" s="4" t="s">
        <v>1986</v>
      </c>
      <c r="J653" s="4" t="s">
        <v>1987</v>
      </c>
      <c r="K653" s="5">
        <v>43724</v>
      </c>
      <c r="L653" s="5">
        <v>43898</v>
      </c>
      <c r="M653" s="5">
        <v>43905</v>
      </c>
      <c r="N653" s="6">
        <f t="shared" si="43"/>
        <v>7</v>
      </c>
      <c r="O653" s="4" t="s">
        <v>28</v>
      </c>
      <c r="P653" s="4">
        <v>9540.68</v>
      </c>
      <c r="Q653" s="4"/>
      <c r="R653" s="4" t="str">
        <f t="shared" si="44"/>
        <v>2020</v>
      </c>
      <c r="S653" s="4" t="str">
        <f t="shared" si="45"/>
        <v>March</v>
      </c>
      <c r="T653" s="4">
        <f t="shared" si="46"/>
        <v>9540.68</v>
      </c>
      <c r="U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row>
    <row r="654" spans="1:53" ht="19.95" customHeight="1">
      <c r="A654" s="4">
        <v>653</v>
      </c>
      <c r="B654" s="4" t="s">
        <v>1988</v>
      </c>
      <c r="C654" s="4" t="s">
        <v>20</v>
      </c>
      <c r="D654" s="4"/>
      <c r="E654" s="4" t="s">
        <v>614</v>
      </c>
      <c r="F654" s="4" t="s">
        <v>23</v>
      </c>
      <c r="G654" s="4" t="s">
        <v>24</v>
      </c>
      <c r="H654" s="4" t="s">
        <v>25</v>
      </c>
      <c r="I654" s="4" t="s">
        <v>1989</v>
      </c>
      <c r="J654" s="4" t="s">
        <v>1990</v>
      </c>
      <c r="K654" s="5">
        <v>43724</v>
      </c>
      <c r="L654" s="5">
        <v>43742</v>
      </c>
      <c r="M654" s="5">
        <v>43749</v>
      </c>
      <c r="N654" s="6">
        <f t="shared" si="43"/>
        <v>7</v>
      </c>
      <c r="O654" s="4" t="s">
        <v>28</v>
      </c>
      <c r="P654" s="4">
        <v>472</v>
      </c>
      <c r="Q654" s="4"/>
      <c r="R654" s="4" t="str">
        <f t="shared" si="44"/>
        <v>2019</v>
      </c>
      <c r="S654" s="4" t="str">
        <f t="shared" si="45"/>
        <v>October</v>
      </c>
      <c r="T654" s="4">
        <f t="shared" si="46"/>
        <v>472</v>
      </c>
      <c r="U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row>
    <row r="655" spans="1:53" ht="19.95" customHeight="1">
      <c r="A655" s="4">
        <v>654</v>
      </c>
      <c r="B655" s="4" t="s">
        <v>1991</v>
      </c>
      <c r="C655" s="4" t="s">
        <v>65</v>
      </c>
      <c r="D655" s="4"/>
      <c r="E655" s="4" t="s">
        <v>1759</v>
      </c>
      <c r="F655" s="4" t="s">
        <v>43</v>
      </c>
      <c r="G655" s="4" t="s">
        <v>24</v>
      </c>
      <c r="H655" s="4" t="s">
        <v>44</v>
      </c>
      <c r="I655" s="4" t="s">
        <v>1992</v>
      </c>
      <c r="J655" s="4" t="s">
        <v>1993</v>
      </c>
      <c r="K655" s="5">
        <v>43722</v>
      </c>
      <c r="L655" s="5">
        <v>43869</v>
      </c>
      <c r="M655" s="5">
        <v>43877</v>
      </c>
      <c r="N655" s="6">
        <f t="shared" si="43"/>
        <v>8</v>
      </c>
      <c r="O655" s="4" t="s">
        <v>28</v>
      </c>
      <c r="P655" s="4">
        <v>10668.86</v>
      </c>
      <c r="Q655" s="4"/>
      <c r="R655" s="4" t="str">
        <f t="shared" si="44"/>
        <v>2020</v>
      </c>
      <c r="S655" s="4" t="str">
        <f t="shared" si="45"/>
        <v>February</v>
      </c>
      <c r="T655" s="4">
        <f t="shared" si="46"/>
        <v>10668.86</v>
      </c>
      <c r="U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row>
    <row r="656" spans="1:53" ht="19.95" customHeight="1">
      <c r="A656" s="4">
        <v>655</v>
      </c>
      <c r="B656" s="4" t="s">
        <v>1994</v>
      </c>
      <c r="C656" s="4" t="s">
        <v>20</v>
      </c>
      <c r="D656" s="4"/>
      <c r="E656" s="4" t="s">
        <v>1567</v>
      </c>
      <c r="F656" s="4" t="s">
        <v>23</v>
      </c>
      <c r="G656" s="4" t="s">
        <v>24</v>
      </c>
      <c r="H656" s="4" t="s">
        <v>25</v>
      </c>
      <c r="I656" s="4" t="s">
        <v>1995</v>
      </c>
      <c r="J656" s="4" t="s">
        <v>1996</v>
      </c>
      <c r="K656" s="5">
        <v>43719</v>
      </c>
      <c r="L656" s="5">
        <v>43849</v>
      </c>
      <c r="M656" s="5">
        <v>43867</v>
      </c>
      <c r="N656" s="6">
        <f t="shared" si="43"/>
        <v>18</v>
      </c>
      <c r="O656" s="4" t="s">
        <v>334</v>
      </c>
      <c r="P656" s="4">
        <v>5424.01</v>
      </c>
      <c r="Q656" s="4"/>
      <c r="R656" s="4" t="str">
        <f t="shared" si="44"/>
        <v>2020</v>
      </c>
      <c r="S656" s="4" t="str">
        <f t="shared" si="45"/>
        <v>January</v>
      </c>
      <c r="T656" s="4">
        <f t="shared" si="46"/>
        <v>5424.01</v>
      </c>
      <c r="U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row>
    <row r="657" spans="1:53" ht="19.95" customHeight="1">
      <c r="A657" s="4">
        <v>656</v>
      </c>
      <c r="B657" s="4" t="s">
        <v>1997</v>
      </c>
      <c r="C657" s="4" t="s">
        <v>20</v>
      </c>
      <c r="D657" s="4"/>
      <c r="E657" s="4" t="s">
        <v>614</v>
      </c>
      <c r="F657" s="4" t="s">
        <v>23</v>
      </c>
      <c r="G657" s="4" t="s">
        <v>24</v>
      </c>
      <c r="H657" s="4" t="s">
        <v>25</v>
      </c>
      <c r="I657" s="4" t="s">
        <v>1998</v>
      </c>
      <c r="J657" s="4" t="s">
        <v>1999</v>
      </c>
      <c r="K657" s="5">
        <v>43718</v>
      </c>
      <c r="L657" s="5">
        <v>43877</v>
      </c>
      <c r="M657" s="5">
        <v>43890</v>
      </c>
      <c r="N657" s="6">
        <f t="shared" si="43"/>
        <v>13</v>
      </c>
      <c r="O657" s="4" t="s">
        <v>28</v>
      </c>
      <c r="P657" s="4">
        <v>1529</v>
      </c>
      <c r="Q657" s="4"/>
      <c r="R657" s="4" t="str">
        <f t="shared" si="44"/>
        <v>2020</v>
      </c>
      <c r="S657" s="4" t="str">
        <f t="shared" si="45"/>
        <v>February</v>
      </c>
      <c r="T657" s="4">
        <f t="shared" si="46"/>
        <v>1529</v>
      </c>
      <c r="U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row>
    <row r="658" spans="1:53" ht="19.95" customHeight="1">
      <c r="A658" s="4">
        <v>657</v>
      </c>
      <c r="B658" s="4" t="s">
        <v>2000</v>
      </c>
      <c r="C658" s="4" t="s">
        <v>20</v>
      </c>
      <c r="D658" s="4"/>
      <c r="E658" s="4" t="s">
        <v>1618</v>
      </c>
      <c r="F658" s="4" t="s">
        <v>48</v>
      </c>
      <c r="G658" s="4" t="s">
        <v>24</v>
      </c>
      <c r="H658" s="4" t="s">
        <v>49</v>
      </c>
      <c r="I658" s="4" t="s">
        <v>2001</v>
      </c>
      <c r="J658" s="4" t="s">
        <v>2002</v>
      </c>
      <c r="K658" s="5">
        <v>43717</v>
      </c>
      <c r="L658" s="5">
        <v>43726</v>
      </c>
      <c r="M658" s="5">
        <v>43729</v>
      </c>
      <c r="N658" s="6">
        <f t="shared" si="43"/>
        <v>3</v>
      </c>
      <c r="O658" s="4" t="s">
        <v>28</v>
      </c>
      <c r="P658" s="4">
        <v>384.68</v>
      </c>
      <c r="Q658" s="4"/>
      <c r="R658" s="4" t="str">
        <f t="shared" si="44"/>
        <v>2019</v>
      </c>
      <c r="S658" s="4" t="str">
        <f t="shared" si="45"/>
        <v>September</v>
      </c>
      <c r="T658" s="4">
        <f t="shared" si="46"/>
        <v>384.68</v>
      </c>
      <c r="U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row>
    <row r="659" spans="1:53" ht="19.95" customHeight="1">
      <c r="A659" s="4">
        <v>658</v>
      </c>
      <c r="B659" s="4" t="s">
        <v>2003</v>
      </c>
      <c r="C659" s="4" t="s">
        <v>20</v>
      </c>
      <c r="D659" s="4"/>
      <c r="E659" s="4" t="s">
        <v>1567</v>
      </c>
      <c r="F659" s="4" t="s">
        <v>48</v>
      </c>
      <c r="G659" s="4" t="s">
        <v>24</v>
      </c>
      <c r="H659" s="4" t="s">
        <v>49</v>
      </c>
      <c r="I659" s="4" t="s">
        <v>2004</v>
      </c>
      <c r="J659" s="4" t="s">
        <v>2005</v>
      </c>
      <c r="K659" s="5">
        <v>43712</v>
      </c>
      <c r="L659" s="5">
        <v>43819</v>
      </c>
      <c r="M659" s="5">
        <v>43834</v>
      </c>
      <c r="N659" s="6">
        <f t="shared" si="43"/>
        <v>15</v>
      </c>
      <c r="O659" s="4" t="s">
        <v>28</v>
      </c>
      <c r="P659" s="4">
        <v>4598.17</v>
      </c>
      <c r="Q659" s="4"/>
      <c r="R659" s="4" t="str">
        <f t="shared" si="44"/>
        <v>2019</v>
      </c>
      <c r="S659" s="4" t="str">
        <f t="shared" si="45"/>
        <v>December</v>
      </c>
      <c r="T659" s="4">
        <f t="shared" si="46"/>
        <v>4598.17</v>
      </c>
      <c r="U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row>
    <row r="660" spans="1:53" ht="19.95" customHeight="1">
      <c r="A660" s="4">
        <v>659</v>
      </c>
      <c r="B660" s="4" t="s">
        <v>2006</v>
      </c>
      <c r="C660" s="4" t="s">
        <v>20</v>
      </c>
      <c r="D660" s="4"/>
      <c r="E660" s="4" t="s">
        <v>614</v>
      </c>
      <c r="F660" s="4" t="s">
        <v>23</v>
      </c>
      <c r="G660" s="4" t="s">
        <v>24</v>
      </c>
      <c r="H660" s="4" t="s">
        <v>25</v>
      </c>
      <c r="I660" s="4" t="s">
        <v>2007</v>
      </c>
      <c r="J660" s="4" t="s">
        <v>1578</v>
      </c>
      <c r="K660" s="5">
        <v>43712</v>
      </c>
      <c r="L660" s="5">
        <v>43889</v>
      </c>
      <c r="M660" s="5">
        <v>43901</v>
      </c>
      <c r="N660" s="6">
        <f t="shared" si="43"/>
        <v>12</v>
      </c>
      <c r="O660" s="4" t="s">
        <v>28</v>
      </c>
      <c r="P660" s="4">
        <v>1770.02</v>
      </c>
      <c r="Q660" s="4"/>
      <c r="R660" s="4" t="str">
        <f t="shared" si="44"/>
        <v>2020</v>
      </c>
      <c r="S660" s="4" t="str">
        <f t="shared" si="45"/>
        <v>February</v>
      </c>
      <c r="T660" s="4">
        <f t="shared" si="46"/>
        <v>1770.02</v>
      </c>
      <c r="U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row>
    <row r="661" spans="1:53" ht="19.95" customHeight="1">
      <c r="A661" s="4">
        <v>660</v>
      </c>
      <c r="B661" s="4" t="s">
        <v>2008</v>
      </c>
      <c r="C661" s="4" t="s">
        <v>65</v>
      </c>
      <c r="D661" s="4"/>
      <c r="E661" s="4" t="s">
        <v>1357</v>
      </c>
      <c r="F661" s="4" t="s">
        <v>589</v>
      </c>
      <c r="G661" s="4" t="s">
        <v>24</v>
      </c>
      <c r="H661" s="4" t="s">
        <v>346</v>
      </c>
      <c r="I661" s="4" t="s">
        <v>2009</v>
      </c>
      <c r="J661" s="4" t="s">
        <v>2010</v>
      </c>
      <c r="K661" s="5">
        <v>43711</v>
      </c>
      <c r="L661" s="5">
        <v>43725</v>
      </c>
      <c r="M661" s="5">
        <v>43734</v>
      </c>
      <c r="N661" s="6">
        <f t="shared" si="43"/>
        <v>9</v>
      </c>
      <c r="O661" s="4" t="s">
        <v>28</v>
      </c>
      <c r="P661" s="4">
        <v>3068.74</v>
      </c>
      <c r="Q661" s="4"/>
      <c r="R661" s="4" t="str">
        <f t="shared" si="44"/>
        <v>2019</v>
      </c>
      <c r="S661" s="4" t="str">
        <f t="shared" si="45"/>
        <v>September</v>
      </c>
      <c r="T661" s="4">
        <f t="shared" si="46"/>
        <v>3068.74</v>
      </c>
      <c r="U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row>
    <row r="662" spans="1:53" ht="19.95" customHeight="1">
      <c r="A662" s="4">
        <v>661</v>
      </c>
      <c r="B662" s="4" t="s">
        <v>2011</v>
      </c>
      <c r="C662" s="4" t="s">
        <v>20</v>
      </c>
      <c r="D662" s="4"/>
      <c r="E662" s="4" t="s">
        <v>614</v>
      </c>
      <c r="F662" s="4" t="s">
        <v>23</v>
      </c>
      <c r="G662" s="4" t="s">
        <v>24</v>
      </c>
      <c r="H662" s="4" t="s">
        <v>25</v>
      </c>
      <c r="I662" s="4" t="s">
        <v>2012</v>
      </c>
      <c r="J662" s="4" t="s">
        <v>2013</v>
      </c>
      <c r="K662" s="5">
        <v>43711</v>
      </c>
      <c r="L662" s="5">
        <v>43866</v>
      </c>
      <c r="M662" s="5">
        <v>43886</v>
      </c>
      <c r="N662" s="6">
        <f t="shared" si="43"/>
        <v>20</v>
      </c>
      <c r="O662" s="4" t="s">
        <v>334</v>
      </c>
      <c r="P662" s="4">
        <v>4708</v>
      </c>
      <c r="Q662" s="4"/>
      <c r="R662" s="4" t="str">
        <f t="shared" si="44"/>
        <v>2020</v>
      </c>
      <c r="S662" s="4" t="str">
        <f t="shared" si="45"/>
        <v>February</v>
      </c>
      <c r="T662" s="4">
        <f t="shared" si="46"/>
        <v>4708</v>
      </c>
      <c r="U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row>
    <row r="663" spans="1:53" ht="19.95" customHeight="1">
      <c r="A663" s="4">
        <v>662</v>
      </c>
      <c r="B663" s="4" t="s">
        <v>2014</v>
      </c>
      <c r="C663" s="4" t="s">
        <v>20</v>
      </c>
      <c r="D663" s="4"/>
      <c r="E663" s="4" t="s">
        <v>1567</v>
      </c>
      <c r="F663" s="4" t="s">
        <v>24</v>
      </c>
      <c r="G663" s="4" t="s">
        <v>24</v>
      </c>
      <c r="H663" s="4" t="s">
        <v>200</v>
      </c>
      <c r="I663" s="4" t="s">
        <v>2015</v>
      </c>
      <c r="J663" s="4" t="s">
        <v>2016</v>
      </c>
      <c r="K663" s="5">
        <v>43710</v>
      </c>
      <c r="L663" s="5">
        <v>43770</v>
      </c>
      <c r="M663" s="5">
        <v>43772</v>
      </c>
      <c r="N663" s="6">
        <f t="shared" si="43"/>
        <v>2</v>
      </c>
      <c r="O663" s="4" t="s">
        <v>762</v>
      </c>
      <c r="P663" s="4">
        <v>243000</v>
      </c>
      <c r="Q663" s="4"/>
      <c r="R663" s="4" t="str">
        <f t="shared" si="44"/>
        <v>2019</v>
      </c>
      <c r="S663" s="4" t="str">
        <f t="shared" si="45"/>
        <v>November</v>
      </c>
      <c r="T663" s="4">
        <f t="shared" si="46"/>
        <v>243000</v>
      </c>
      <c r="U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row>
    <row r="664" spans="1:53" ht="19.95" customHeight="1">
      <c r="A664" s="4">
        <v>663</v>
      </c>
      <c r="B664" s="4" t="s">
        <v>2017</v>
      </c>
      <c r="C664" s="4" t="s">
        <v>20</v>
      </c>
      <c r="D664" s="4"/>
      <c r="E664" s="4" t="s">
        <v>1567</v>
      </c>
      <c r="F664" s="4" t="s">
        <v>48</v>
      </c>
      <c r="G664" s="4" t="s">
        <v>24</v>
      </c>
      <c r="H664" s="4" t="s">
        <v>49</v>
      </c>
      <c r="I664" s="4" t="s">
        <v>2018</v>
      </c>
      <c r="J664" s="4" t="s">
        <v>2019</v>
      </c>
      <c r="K664" s="5">
        <v>43710</v>
      </c>
      <c r="L664" s="5">
        <v>43734</v>
      </c>
      <c r="M664" s="5">
        <v>43747</v>
      </c>
      <c r="N664" s="6">
        <f t="shared" si="43"/>
        <v>13</v>
      </c>
      <c r="O664" s="4" t="s">
        <v>28</v>
      </c>
      <c r="P664" s="4">
        <v>2564.42</v>
      </c>
      <c r="Q664" s="4"/>
      <c r="R664" s="4" t="str">
        <f t="shared" si="44"/>
        <v>2019</v>
      </c>
      <c r="S664" s="4" t="str">
        <f t="shared" si="45"/>
        <v>September</v>
      </c>
      <c r="T664" s="4">
        <f t="shared" si="46"/>
        <v>2564.42</v>
      </c>
      <c r="U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row>
    <row r="665" spans="1:53" ht="19.95" customHeight="1">
      <c r="A665" s="4">
        <v>664</v>
      </c>
      <c r="B665" s="4" t="s">
        <v>2020</v>
      </c>
      <c r="C665" s="4" t="s">
        <v>20</v>
      </c>
      <c r="D665" s="4"/>
      <c r="E665" s="4" t="s">
        <v>1618</v>
      </c>
      <c r="F665" s="4" t="s">
        <v>48</v>
      </c>
      <c r="G665" s="4" t="s">
        <v>24</v>
      </c>
      <c r="H665" s="4" t="s">
        <v>49</v>
      </c>
      <c r="I665" s="4" t="s">
        <v>2021</v>
      </c>
      <c r="J665" s="4" t="s">
        <v>2022</v>
      </c>
      <c r="K665" s="5">
        <v>43710</v>
      </c>
      <c r="L665" s="5">
        <v>43799</v>
      </c>
      <c r="M665" s="5">
        <v>43813</v>
      </c>
      <c r="N665" s="6">
        <f t="shared" si="43"/>
        <v>14</v>
      </c>
      <c r="O665" s="4" t="s">
        <v>28</v>
      </c>
      <c r="P665" s="4">
        <v>5056.3500000000004</v>
      </c>
      <c r="Q665" s="4"/>
      <c r="R665" s="4" t="str">
        <f t="shared" si="44"/>
        <v>2019</v>
      </c>
      <c r="S665" s="4" t="str">
        <f t="shared" si="45"/>
        <v>November</v>
      </c>
      <c r="T665" s="4">
        <f t="shared" si="46"/>
        <v>5056.3500000000004</v>
      </c>
      <c r="U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row>
    <row r="666" spans="1:53" ht="19.95" customHeight="1">
      <c r="A666" s="4">
        <v>665</v>
      </c>
      <c r="B666" s="4" t="s">
        <v>2023</v>
      </c>
      <c r="C666" s="4" t="s">
        <v>20</v>
      </c>
      <c r="D666" s="4"/>
      <c r="E666" s="4" t="s">
        <v>614</v>
      </c>
      <c r="F666" s="4" t="s">
        <v>48</v>
      </c>
      <c r="G666" s="4" t="s">
        <v>24</v>
      </c>
      <c r="H666" s="4" t="s">
        <v>49</v>
      </c>
      <c r="I666" s="4" t="s">
        <v>2024</v>
      </c>
      <c r="J666" s="4" t="s">
        <v>2025</v>
      </c>
      <c r="K666" s="5">
        <v>43709</v>
      </c>
      <c r="L666" s="5">
        <v>43828</v>
      </c>
      <c r="M666" s="5">
        <v>43829</v>
      </c>
      <c r="N666" s="6">
        <f t="shared" si="43"/>
        <v>1</v>
      </c>
      <c r="O666" s="4" t="s">
        <v>28</v>
      </c>
      <c r="P666" s="4">
        <v>1163.06</v>
      </c>
      <c r="Q666" s="4"/>
      <c r="R666" s="4" t="str">
        <f t="shared" si="44"/>
        <v>2019</v>
      </c>
      <c r="S666" s="4" t="str">
        <f t="shared" si="45"/>
        <v>December</v>
      </c>
      <c r="T666" s="4">
        <f t="shared" si="46"/>
        <v>1163.06</v>
      </c>
      <c r="U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row>
    <row r="667" spans="1:53" ht="19.95" customHeight="1">
      <c r="A667" s="4">
        <v>666</v>
      </c>
      <c r="B667" s="4" t="s">
        <v>2026</v>
      </c>
      <c r="C667" s="4" t="s">
        <v>20</v>
      </c>
      <c r="D667" s="4"/>
      <c r="E667" s="4" t="s">
        <v>614</v>
      </c>
      <c r="F667" s="4" t="s">
        <v>43</v>
      </c>
      <c r="G667" s="4" t="s">
        <v>223</v>
      </c>
      <c r="H667" s="4" t="s">
        <v>44</v>
      </c>
      <c r="I667" s="4" t="s">
        <v>2027</v>
      </c>
      <c r="J667" s="4" t="s">
        <v>2028</v>
      </c>
      <c r="K667" s="5">
        <v>43707</v>
      </c>
      <c r="L667" s="5">
        <v>43762</v>
      </c>
      <c r="M667" s="5">
        <v>43762</v>
      </c>
      <c r="N667" s="6">
        <f t="shared" si="43"/>
        <v>0</v>
      </c>
      <c r="O667" s="4" t="s">
        <v>28</v>
      </c>
      <c r="P667" s="4">
        <v>1312</v>
      </c>
      <c r="Q667" s="4"/>
      <c r="R667" s="4" t="str">
        <f t="shared" si="44"/>
        <v>2019</v>
      </c>
      <c r="S667" s="4" t="str">
        <f t="shared" si="45"/>
        <v>October</v>
      </c>
      <c r="T667" s="4">
        <f t="shared" si="46"/>
        <v>1312</v>
      </c>
      <c r="U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row>
    <row r="668" spans="1:53" ht="19.95" customHeight="1">
      <c r="A668" s="4">
        <v>667</v>
      </c>
      <c r="B668" s="4" t="s">
        <v>2029</v>
      </c>
      <c r="C668" s="4" t="s">
        <v>65</v>
      </c>
      <c r="D668" s="4"/>
      <c r="E668" s="4" t="s">
        <v>2030</v>
      </c>
      <c r="F668" s="4" t="s">
        <v>589</v>
      </c>
      <c r="G668" s="4" t="s">
        <v>24</v>
      </c>
      <c r="H668" s="4" t="s">
        <v>346</v>
      </c>
      <c r="I668" s="4" t="s">
        <v>2031</v>
      </c>
      <c r="J668" s="4" t="s">
        <v>2032</v>
      </c>
      <c r="K668" s="5">
        <v>43706</v>
      </c>
      <c r="L668" s="5">
        <v>43780</v>
      </c>
      <c r="M668" s="5">
        <v>43797</v>
      </c>
      <c r="N668" s="6">
        <f t="shared" ref="N668:N731" si="47">M668-L668</f>
        <v>17</v>
      </c>
      <c r="O668" s="4" t="s">
        <v>28</v>
      </c>
      <c r="P668" s="4">
        <v>12374.62</v>
      </c>
      <c r="Q668" s="4"/>
      <c r="R668" s="4" t="str">
        <f t="shared" si="44"/>
        <v>2019</v>
      </c>
      <c r="S668" s="4" t="str">
        <f t="shared" si="45"/>
        <v>November</v>
      </c>
      <c r="T668" s="4">
        <f t="shared" si="46"/>
        <v>12374.62</v>
      </c>
      <c r="U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row>
    <row r="669" spans="1:53" ht="19.95" customHeight="1">
      <c r="A669" s="4">
        <v>668</v>
      </c>
      <c r="B669" s="4" t="s">
        <v>2033</v>
      </c>
      <c r="C669" s="4" t="s">
        <v>20</v>
      </c>
      <c r="D669" s="4"/>
      <c r="E669" s="4" t="s">
        <v>2034</v>
      </c>
      <c r="F669" s="4" t="s">
        <v>24</v>
      </c>
      <c r="G669" s="4" t="s">
        <v>24</v>
      </c>
      <c r="H669" s="4" t="s">
        <v>200</v>
      </c>
      <c r="I669" s="4" t="s">
        <v>2035</v>
      </c>
      <c r="J669" s="4" t="s">
        <v>2036</v>
      </c>
      <c r="K669" s="5">
        <v>43706</v>
      </c>
      <c r="L669" s="5">
        <v>43707</v>
      </c>
      <c r="M669" s="5">
        <v>43709</v>
      </c>
      <c r="N669" s="6">
        <f t="shared" si="47"/>
        <v>2</v>
      </c>
      <c r="O669" s="4" t="s">
        <v>762</v>
      </c>
      <c r="P669" s="4">
        <v>35000</v>
      </c>
      <c r="Q669" s="4"/>
      <c r="R669" s="4" t="str">
        <f t="shared" si="44"/>
        <v>2019</v>
      </c>
      <c r="S669" s="4" t="str">
        <f t="shared" si="45"/>
        <v>August</v>
      </c>
      <c r="T669" s="4">
        <f t="shared" si="46"/>
        <v>35000</v>
      </c>
      <c r="U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row>
    <row r="670" spans="1:53" ht="19.95" customHeight="1">
      <c r="A670" s="4">
        <v>669</v>
      </c>
      <c r="B670" s="4" t="s">
        <v>2037</v>
      </c>
      <c r="C670" s="4" t="s">
        <v>20</v>
      </c>
      <c r="D670" s="4"/>
      <c r="E670" s="4" t="s">
        <v>614</v>
      </c>
      <c r="F670" s="4" t="s">
        <v>23</v>
      </c>
      <c r="G670" s="4" t="s">
        <v>24</v>
      </c>
      <c r="H670" s="4" t="s">
        <v>25</v>
      </c>
      <c r="I670" s="4" t="s">
        <v>2038</v>
      </c>
      <c r="J670" s="4" t="s">
        <v>2039</v>
      </c>
      <c r="K670" s="5">
        <v>43705</v>
      </c>
      <c r="L670" s="5">
        <v>43823</v>
      </c>
      <c r="M670" s="5">
        <v>43831</v>
      </c>
      <c r="N670" s="6">
        <f t="shared" si="47"/>
        <v>8</v>
      </c>
      <c r="O670" s="4" t="s">
        <v>28</v>
      </c>
      <c r="P670" s="4">
        <v>7373.93</v>
      </c>
      <c r="Q670" s="4"/>
      <c r="R670" s="4" t="str">
        <f t="shared" si="44"/>
        <v>2019</v>
      </c>
      <c r="S670" s="4" t="str">
        <f t="shared" si="45"/>
        <v>December</v>
      </c>
      <c r="T670" s="4">
        <f t="shared" si="46"/>
        <v>7373.93</v>
      </c>
      <c r="U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row>
    <row r="671" spans="1:53" ht="19.95" customHeight="1">
      <c r="A671" s="4">
        <v>670</v>
      </c>
      <c r="B671" s="4" t="s">
        <v>2040</v>
      </c>
      <c r="C671" s="4" t="s">
        <v>20</v>
      </c>
      <c r="D671" s="4"/>
      <c r="E671" s="4" t="s">
        <v>1567</v>
      </c>
      <c r="F671" s="4" t="s">
        <v>24</v>
      </c>
      <c r="G671" s="4" t="s">
        <v>24</v>
      </c>
      <c r="H671" s="4" t="s">
        <v>200</v>
      </c>
      <c r="I671" s="4" t="s">
        <v>2041</v>
      </c>
      <c r="J671" s="4" t="s">
        <v>2042</v>
      </c>
      <c r="K671" s="5">
        <v>43705</v>
      </c>
      <c r="L671" s="5">
        <v>43840</v>
      </c>
      <c r="M671" s="5">
        <v>43842</v>
      </c>
      <c r="N671" s="6">
        <f t="shared" si="47"/>
        <v>2</v>
      </c>
      <c r="O671" s="4" t="s">
        <v>28</v>
      </c>
      <c r="P671" s="4">
        <v>1885.98</v>
      </c>
      <c r="Q671" s="4"/>
      <c r="R671" s="4" t="str">
        <f t="shared" si="44"/>
        <v>2020</v>
      </c>
      <c r="S671" s="4" t="str">
        <f t="shared" si="45"/>
        <v>January</v>
      </c>
      <c r="T671" s="4">
        <f t="shared" si="46"/>
        <v>1885.98</v>
      </c>
      <c r="U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row>
    <row r="672" spans="1:53" ht="19.95" customHeight="1">
      <c r="A672" s="4">
        <v>671</v>
      </c>
      <c r="B672" s="4" t="s">
        <v>2043</v>
      </c>
      <c r="C672" s="4" t="s">
        <v>20</v>
      </c>
      <c r="D672" s="4"/>
      <c r="E672" s="4" t="s">
        <v>614</v>
      </c>
      <c r="F672" s="4" t="s">
        <v>23</v>
      </c>
      <c r="G672" s="4" t="s">
        <v>24</v>
      </c>
      <c r="H672" s="4" t="s">
        <v>25</v>
      </c>
      <c r="I672" s="4" t="s">
        <v>2044</v>
      </c>
      <c r="J672" s="4" t="s">
        <v>2045</v>
      </c>
      <c r="K672" s="5">
        <v>43704</v>
      </c>
      <c r="L672" s="5">
        <v>43865</v>
      </c>
      <c r="M672" s="5">
        <v>43884</v>
      </c>
      <c r="N672" s="6">
        <f t="shared" si="47"/>
        <v>19</v>
      </c>
      <c r="O672" s="4" t="s">
        <v>28</v>
      </c>
      <c r="P672" s="4">
        <v>2189.27</v>
      </c>
      <c r="Q672" s="4"/>
      <c r="R672" s="4" t="str">
        <f t="shared" si="44"/>
        <v>2020</v>
      </c>
      <c r="S672" s="4" t="str">
        <f t="shared" si="45"/>
        <v>February</v>
      </c>
      <c r="T672" s="4">
        <f t="shared" si="46"/>
        <v>2189.27</v>
      </c>
      <c r="U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row>
    <row r="673" spans="1:53" ht="19.95" customHeight="1">
      <c r="A673" s="4">
        <v>672</v>
      </c>
      <c r="B673" s="4" t="s">
        <v>2046</v>
      </c>
      <c r="C673" s="4" t="s">
        <v>20</v>
      </c>
      <c r="D673" s="4"/>
      <c r="E673" s="4" t="s">
        <v>614</v>
      </c>
      <c r="F673" s="4" t="s">
        <v>23</v>
      </c>
      <c r="G673" s="4" t="s">
        <v>24</v>
      </c>
      <c r="H673" s="4" t="s">
        <v>25</v>
      </c>
      <c r="I673" s="4" t="s">
        <v>2047</v>
      </c>
      <c r="J673" s="4" t="s">
        <v>1467</v>
      </c>
      <c r="K673" s="5">
        <v>43703</v>
      </c>
      <c r="L673" s="5">
        <v>43819</v>
      </c>
      <c r="M673" s="5">
        <v>43823</v>
      </c>
      <c r="N673" s="6">
        <f t="shared" si="47"/>
        <v>4</v>
      </c>
      <c r="O673" s="4" t="s">
        <v>28</v>
      </c>
      <c r="P673" s="4">
        <v>295</v>
      </c>
      <c r="Q673" s="4"/>
      <c r="R673" s="4" t="str">
        <f t="shared" si="44"/>
        <v>2019</v>
      </c>
      <c r="S673" s="4" t="str">
        <f t="shared" si="45"/>
        <v>December</v>
      </c>
      <c r="T673" s="4">
        <f t="shared" si="46"/>
        <v>295</v>
      </c>
      <c r="U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row>
    <row r="674" spans="1:53" ht="19.95" customHeight="1">
      <c r="A674" s="4">
        <v>673</v>
      </c>
      <c r="B674" s="4" t="s">
        <v>2048</v>
      </c>
      <c r="C674" s="4" t="s">
        <v>65</v>
      </c>
      <c r="D674" s="4"/>
      <c r="E674" s="4" t="s">
        <v>2049</v>
      </c>
      <c r="F674" s="4" t="s">
        <v>43</v>
      </c>
      <c r="G674" s="4" t="s">
        <v>24</v>
      </c>
      <c r="H674" s="4" t="s">
        <v>44</v>
      </c>
      <c r="I674" s="4" t="s">
        <v>2050</v>
      </c>
      <c r="J674" s="4" t="s">
        <v>2051</v>
      </c>
      <c r="K674" s="5">
        <v>43699</v>
      </c>
      <c r="L674" s="5">
        <v>43729</v>
      </c>
      <c r="M674" s="5">
        <v>43737</v>
      </c>
      <c r="N674" s="6">
        <f t="shared" si="47"/>
        <v>8</v>
      </c>
      <c r="O674" s="4" t="s">
        <v>28</v>
      </c>
      <c r="P674" s="4">
        <v>1300</v>
      </c>
      <c r="Q674" s="4"/>
      <c r="R674" s="4" t="str">
        <f t="shared" si="44"/>
        <v>2019</v>
      </c>
      <c r="S674" s="4" t="str">
        <f t="shared" si="45"/>
        <v>September</v>
      </c>
      <c r="T674" s="4">
        <f t="shared" si="46"/>
        <v>1300</v>
      </c>
      <c r="U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row>
    <row r="675" spans="1:53" ht="19.95" customHeight="1">
      <c r="A675" s="4">
        <v>674</v>
      </c>
      <c r="B675" s="4" t="s">
        <v>2052</v>
      </c>
      <c r="C675" s="4" t="s">
        <v>20</v>
      </c>
      <c r="D675" s="4"/>
      <c r="E675" s="4" t="s">
        <v>1523</v>
      </c>
      <c r="F675" s="4" t="s">
        <v>43</v>
      </c>
      <c r="G675" s="4" t="s">
        <v>24</v>
      </c>
      <c r="H675" s="4" t="s">
        <v>44</v>
      </c>
      <c r="I675" s="4" t="s">
        <v>2053</v>
      </c>
      <c r="J675" s="4" t="s">
        <v>2054</v>
      </c>
      <c r="K675" s="5">
        <v>43699</v>
      </c>
      <c r="L675" s="5">
        <v>43710</v>
      </c>
      <c r="M675" s="5">
        <v>43716</v>
      </c>
      <c r="N675" s="6">
        <f t="shared" si="47"/>
        <v>6</v>
      </c>
      <c r="O675" s="4" t="s">
        <v>28</v>
      </c>
      <c r="P675" s="4">
        <v>294</v>
      </c>
      <c r="Q675" s="4"/>
      <c r="R675" s="4" t="str">
        <f t="shared" si="44"/>
        <v>2019</v>
      </c>
      <c r="S675" s="4" t="str">
        <f t="shared" si="45"/>
        <v>September</v>
      </c>
      <c r="T675" s="4">
        <f t="shared" si="46"/>
        <v>294</v>
      </c>
      <c r="U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row>
    <row r="676" spans="1:53" ht="19.95" customHeight="1">
      <c r="A676" s="4">
        <v>675</v>
      </c>
      <c r="B676" s="4" t="s">
        <v>2055</v>
      </c>
      <c r="C676" s="4" t="s">
        <v>20</v>
      </c>
      <c r="D676" s="4"/>
      <c r="E676" s="4" t="s">
        <v>614</v>
      </c>
      <c r="F676" s="4" t="s">
        <v>23</v>
      </c>
      <c r="G676" s="4" t="s">
        <v>24</v>
      </c>
      <c r="H676" s="4" t="s">
        <v>25</v>
      </c>
      <c r="I676" s="4" t="s">
        <v>2056</v>
      </c>
      <c r="J676" s="4" t="s">
        <v>2057</v>
      </c>
      <c r="K676" s="5">
        <v>43698</v>
      </c>
      <c r="L676" s="5">
        <v>43724</v>
      </c>
      <c r="M676" s="5">
        <v>43732</v>
      </c>
      <c r="N676" s="6">
        <f t="shared" si="47"/>
        <v>8</v>
      </c>
      <c r="O676" s="4" t="s">
        <v>334</v>
      </c>
      <c r="P676" s="4">
        <v>1976</v>
      </c>
      <c r="Q676" s="4"/>
      <c r="R676" s="4" t="str">
        <f t="shared" si="44"/>
        <v>2019</v>
      </c>
      <c r="S676" s="4" t="str">
        <f t="shared" si="45"/>
        <v>September</v>
      </c>
      <c r="T676" s="4">
        <f t="shared" si="46"/>
        <v>1976</v>
      </c>
      <c r="U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row>
    <row r="677" spans="1:53" ht="19.95" customHeight="1">
      <c r="A677" s="4">
        <v>676</v>
      </c>
      <c r="B677" s="4" t="s">
        <v>2058</v>
      </c>
      <c r="C677" s="4" t="s">
        <v>20</v>
      </c>
      <c r="D677" s="4"/>
      <c r="E677" s="4" t="s">
        <v>1567</v>
      </c>
      <c r="F677" s="4" t="s">
        <v>43</v>
      </c>
      <c r="G677" s="4" t="s">
        <v>24</v>
      </c>
      <c r="H677" s="4" t="s">
        <v>44</v>
      </c>
      <c r="I677" s="4" t="s">
        <v>2059</v>
      </c>
      <c r="J677" s="4" t="s">
        <v>2060</v>
      </c>
      <c r="K677" s="5">
        <v>43697</v>
      </c>
      <c r="L677" s="5">
        <v>43708</v>
      </c>
      <c r="M677" s="5">
        <v>43713</v>
      </c>
      <c r="N677" s="6">
        <f t="shared" si="47"/>
        <v>5</v>
      </c>
      <c r="O677" s="4" t="s">
        <v>28</v>
      </c>
      <c r="P677" s="4">
        <v>485</v>
      </c>
      <c r="Q677" s="4"/>
      <c r="R677" s="4" t="str">
        <f t="shared" si="44"/>
        <v>2019</v>
      </c>
      <c r="S677" s="4" t="str">
        <f t="shared" si="45"/>
        <v>August</v>
      </c>
      <c r="T677" s="4">
        <f t="shared" si="46"/>
        <v>485</v>
      </c>
      <c r="U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row>
    <row r="678" spans="1:53" ht="19.95" customHeight="1">
      <c r="A678" s="4">
        <v>677</v>
      </c>
      <c r="B678" s="4" t="s">
        <v>2061</v>
      </c>
      <c r="C678" s="4" t="s">
        <v>65</v>
      </c>
      <c r="D678" s="4"/>
      <c r="E678" s="4" t="s">
        <v>1357</v>
      </c>
      <c r="F678" s="4" t="s">
        <v>589</v>
      </c>
      <c r="G678" s="4" t="s">
        <v>24</v>
      </c>
      <c r="H678" s="4" t="s">
        <v>346</v>
      </c>
      <c r="I678" s="4" t="s">
        <v>2062</v>
      </c>
      <c r="J678" s="4" t="s">
        <v>2063</v>
      </c>
      <c r="K678" s="5">
        <v>43696</v>
      </c>
      <c r="L678" s="5">
        <v>43739</v>
      </c>
      <c r="M678" s="5">
        <v>43753</v>
      </c>
      <c r="N678" s="6">
        <f t="shared" si="47"/>
        <v>14</v>
      </c>
      <c r="O678" s="4" t="s">
        <v>28</v>
      </c>
      <c r="P678" s="4">
        <v>4362.28</v>
      </c>
      <c r="Q678" s="4"/>
      <c r="R678" s="4" t="str">
        <f t="shared" si="44"/>
        <v>2019</v>
      </c>
      <c r="S678" s="4" t="str">
        <f t="shared" si="45"/>
        <v>October</v>
      </c>
      <c r="T678" s="4">
        <f t="shared" si="46"/>
        <v>4362.28</v>
      </c>
      <c r="U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row>
    <row r="679" spans="1:53" ht="19.95" customHeight="1">
      <c r="A679" s="4">
        <v>678</v>
      </c>
      <c r="B679" s="4" t="s">
        <v>2064</v>
      </c>
      <c r="C679" s="4" t="s">
        <v>20</v>
      </c>
      <c r="D679" s="4"/>
      <c r="E679" s="4" t="s">
        <v>1618</v>
      </c>
      <c r="F679" s="4" t="s">
        <v>23</v>
      </c>
      <c r="G679" s="4" t="s">
        <v>24</v>
      </c>
      <c r="H679" s="4" t="s">
        <v>25</v>
      </c>
      <c r="I679" s="4" t="s">
        <v>2065</v>
      </c>
      <c r="J679" s="4" t="s">
        <v>2066</v>
      </c>
      <c r="K679" s="5">
        <v>43693</v>
      </c>
      <c r="L679" s="5">
        <v>43698</v>
      </c>
      <c r="M679" s="5">
        <v>43710</v>
      </c>
      <c r="N679" s="6">
        <f t="shared" si="47"/>
        <v>12</v>
      </c>
      <c r="O679" s="4" t="s">
        <v>28</v>
      </c>
      <c r="P679" s="4">
        <v>2972.88</v>
      </c>
      <c r="Q679" s="4"/>
      <c r="R679" s="4" t="str">
        <f t="shared" si="44"/>
        <v>2019</v>
      </c>
      <c r="S679" s="4" t="str">
        <f t="shared" si="45"/>
        <v>August</v>
      </c>
      <c r="T679" s="4">
        <f t="shared" si="46"/>
        <v>2972.88</v>
      </c>
      <c r="U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row>
    <row r="680" spans="1:53" ht="19.95" customHeight="1">
      <c r="A680" s="4">
        <v>679</v>
      </c>
      <c r="B680" s="4" t="s">
        <v>2067</v>
      </c>
      <c r="C680" s="4" t="s">
        <v>20</v>
      </c>
      <c r="D680" s="4"/>
      <c r="E680" s="4" t="s">
        <v>614</v>
      </c>
      <c r="F680" s="4" t="s">
        <v>128</v>
      </c>
      <c r="G680" s="4" t="s">
        <v>24</v>
      </c>
      <c r="H680" s="4" t="s">
        <v>129</v>
      </c>
      <c r="I680" s="4" t="s">
        <v>2068</v>
      </c>
      <c r="J680" s="4" t="s">
        <v>2069</v>
      </c>
      <c r="K680" s="5">
        <v>43693</v>
      </c>
      <c r="L680" s="5">
        <v>43724</v>
      </c>
      <c r="M680" s="5">
        <v>43727</v>
      </c>
      <c r="N680" s="6">
        <f t="shared" si="47"/>
        <v>3</v>
      </c>
      <c r="O680" s="4" t="s">
        <v>28</v>
      </c>
      <c r="P680" s="4">
        <v>460.32</v>
      </c>
      <c r="Q680" s="4"/>
      <c r="R680" s="4" t="str">
        <f t="shared" si="44"/>
        <v>2019</v>
      </c>
      <c r="S680" s="4" t="str">
        <f t="shared" si="45"/>
        <v>September</v>
      </c>
      <c r="T680" s="4">
        <f t="shared" si="46"/>
        <v>460.32</v>
      </c>
      <c r="U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row>
    <row r="681" spans="1:53" ht="19.95" customHeight="1">
      <c r="A681" s="4">
        <v>680</v>
      </c>
      <c r="B681" s="4" t="s">
        <v>2070</v>
      </c>
      <c r="C681" s="4" t="s">
        <v>65</v>
      </c>
      <c r="D681" s="4"/>
      <c r="E681" s="4" t="s">
        <v>1434</v>
      </c>
      <c r="F681" s="4" t="s">
        <v>23</v>
      </c>
      <c r="G681" s="4" t="s">
        <v>24</v>
      </c>
      <c r="H681" s="4" t="s">
        <v>25</v>
      </c>
      <c r="I681" s="4" t="s">
        <v>2071</v>
      </c>
      <c r="J681" s="4" t="s">
        <v>2072</v>
      </c>
      <c r="K681" s="5">
        <v>43692</v>
      </c>
      <c r="L681" s="5">
        <v>43822</v>
      </c>
      <c r="M681" s="5">
        <v>43838</v>
      </c>
      <c r="N681" s="6">
        <f t="shared" si="47"/>
        <v>16</v>
      </c>
      <c r="O681" s="4" t="s">
        <v>28</v>
      </c>
      <c r="P681" s="4">
        <v>5989.02</v>
      </c>
      <c r="Q681" s="4"/>
      <c r="R681" s="4" t="str">
        <f t="shared" si="44"/>
        <v>2019</v>
      </c>
      <c r="S681" s="4" t="str">
        <f t="shared" si="45"/>
        <v>December</v>
      </c>
      <c r="T681" s="4">
        <f t="shared" si="46"/>
        <v>5989.02</v>
      </c>
      <c r="U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row>
    <row r="682" spans="1:53" ht="19.95" customHeight="1">
      <c r="A682" s="4">
        <v>681</v>
      </c>
      <c r="B682" s="4" t="s">
        <v>2073</v>
      </c>
      <c r="C682" s="4" t="s">
        <v>65</v>
      </c>
      <c r="D682" s="4"/>
      <c r="E682" s="4" t="s">
        <v>1649</v>
      </c>
      <c r="F682" s="4" t="s">
        <v>43</v>
      </c>
      <c r="G682" s="4" t="s">
        <v>24</v>
      </c>
      <c r="H682" s="4" t="s">
        <v>44</v>
      </c>
      <c r="I682" s="4" t="s">
        <v>2074</v>
      </c>
      <c r="J682" s="4"/>
      <c r="K682" s="5">
        <v>43692</v>
      </c>
      <c r="L682" s="5">
        <v>43751</v>
      </c>
      <c r="M682" s="5">
        <v>43761</v>
      </c>
      <c r="N682" s="6">
        <f t="shared" si="47"/>
        <v>10</v>
      </c>
      <c r="O682" s="4" t="s">
        <v>28</v>
      </c>
      <c r="P682" s="4">
        <v>18546</v>
      </c>
      <c r="Q682" s="4"/>
      <c r="R682" s="4" t="str">
        <f t="shared" si="44"/>
        <v>2019</v>
      </c>
      <c r="S682" s="4" t="str">
        <f t="shared" si="45"/>
        <v>October</v>
      </c>
      <c r="T682" s="4">
        <f t="shared" si="46"/>
        <v>18546</v>
      </c>
      <c r="U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row>
    <row r="683" spans="1:53" ht="19.95" customHeight="1">
      <c r="A683" s="4">
        <v>682</v>
      </c>
      <c r="B683" s="4" t="s">
        <v>2075</v>
      </c>
      <c r="C683" s="4" t="s">
        <v>65</v>
      </c>
      <c r="D683" s="4"/>
      <c r="E683" s="4" t="s">
        <v>455</v>
      </c>
      <c r="F683" s="4" t="s">
        <v>48</v>
      </c>
      <c r="G683" s="4" t="s">
        <v>24</v>
      </c>
      <c r="H683" s="4" t="s">
        <v>49</v>
      </c>
      <c r="I683" s="4" t="s">
        <v>2076</v>
      </c>
      <c r="J683" s="4"/>
      <c r="K683" s="5">
        <v>43689</v>
      </c>
      <c r="L683" s="5">
        <v>43722</v>
      </c>
      <c r="M683" s="5">
        <v>43723</v>
      </c>
      <c r="N683" s="6">
        <f t="shared" si="47"/>
        <v>1</v>
      </c>
      <c r="O683" s="4" t="s">
        <v>28</v>
      </c>
      <c r="P683" s="4">
        <v>589</v>
      </c>
      <c r="Q683" s="4"/>
      <c r="R683" s="4" t="str">
        <f t="shared" si="44"/>
        <v>2019</v>
      </c>
      <c r="S683" s="4" t="str">
        <f t="shared" si="45"/>
        <v>September</v>
      </c>
      <c r="T683" s="4">
        <f t="shared" si="46"/>
        <v>589</v>
      </c>
      <c r="U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row>
    <row r="684" spans="1:53" ht="19.95" customHeight="1">
      <c r="A684" s="4">
        <v>683</v>
      </c>
      <c r="B684" s="4" t="s">
        <v>2077</v>
      </c>
      <c r="C684" s="4" t="s">
        <v>65</v>
      </c>
      <c r="D684" s="4"/>
      <c r="E684" s="4" t="s">
        <v>1594</v>
      </c>
      <c r="F684" s="4" t="s">
        <v>43</v>
      </c>
      <c r="G684" s="4" t="s">
        <v>24</v>
      </c>
      <c r="H684" s="4" t="s">
        <v>44</v>
      </c>
      <c r="I684" s="4" t="s">
        <v>2078</v>
      </c>
      <c r="J684" s="4"/>
      <c r="K684" s="5">
        <v>43687</v>
      </c>
      <c r="L684" s="5">
        <v>43688</v>
      </c>
      <c r="M684" s="5">
        <v>43689</v>
      </c>
      <c r="N684" s="6">
        <f t="shared" si="47"/>
        <v>1</v>
      </c>
      <c r="O684" s="4" t="s">
        <v>28</v>
      </c>
      <c r="P684" s="4">
        <v>50</v>
      </c>
      <c r="Q684" s="4"/>
      <c r="R684" s="4" t="str">
        <f t="shared" si="44"/>
        <v>2019</v>
      </c>
      <c r="S684" s="4" t="str">
        <f t="shared" si="45"/>
        <v>August</v>
      </c>
      <c r="T684" s="4">
        <f t="shared" si="46"/>
        <v>50</v>
      </c>
      <c r="U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row>
    <row r="685" spans="1:53" ht="19.95" customHeight="1">
      <c r="A685" s="4">
        <v>684</v>
      </c>
      <c r="B685" s="4" t="s">
        <v>2079</v>
      </c>
      <c r="C685" s="4" t="s">
        <v>20</v>
      </c>
      <c r="D685" s="4"/>
      <c r="E685" s="4" t="s">
        <v>614</v>
      </c>
      <c r="F685" s="4" t="s">
        <v>23</v>
      </c>
      <c r="G685" s="4" t="s">
        <v>24</v>
      </c>
      <c r="H685" s="4" t="s">
        <v>25</v>
      </c>
      <c r="I685" s="4" t="s">
        <v>2080</v>
      </c>
      <c r="J685" s="4" t="s">
        <v>2081</v>
      </c>
      <c r="K685" s="5">
        <v>43686</v>
      </c>
      <c r="L685" s="5">
        <v>43714</v>
      </c>
      <c r="M685" s="5">
        <v>43723</v>
      </c>
      <c r="N685" s="6">
        <f t="shared" si="47"/>
        <v>9</v>
      </c>
      <c r="O685" s="4" t="s">
        <v>334</v>
      </c>
      <c r="P685" s="4">
        <v>2676</v>
      </c>
      <c r="Q685" s="4"/>
      <c r="R685" s="4" t="str">
        <f t="shared" si="44"/>
        <v>2019</v>
      </c>
      <c r="S685" s="4" t="str">
        <f t="shared" si="45"/>
        <v>September</v>
      </c>
      <c r="T685" s="4">
        <f t="shared" si="46"/>
        <v>2676</v>
      </c>
      <c r="U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row>
    <row r="686" spans="1:53" ht="19.95" customHeight="1">
      <c r="A686" s="4">
        <v>685</v>
      </c>
      <c r="B686" s="4" t="s">
        <v>2082</v>
      </c>
      <c r="C686" s="4" t="s">
        <v>65</v>
      </c>
      <c r="D686" s="4"/>
      <c r="E686" s="4" t="s">
        <v>1434</v>
      </c>
      <c r="F686" s="4" t="s">
        <v>43</v>
      </c>
      <c r="G686" s="4" t="s">
        <v>24</v>
      </c>
      <c r="H686" s="4" t="s">
        <v>44</v>
      </c>
      <c r="I686" s="4" t="s">
        <v>2083</v>
      </c>
      <c r="J686" s="4" t="s">
        <v>2084</v>
      </c>
      <c r="K686" s="5">
        <v>43685</v>
      </c>
      <c r="L686" s="5">
        <v>43689</v>
      </c>
      <c r="M686" s="5">
        <v>43693</v>
      </c>
      <c r="N686" s="6">
        <f t="shared" si="47"/>
        <v>4</v>
      </c>
      <c r="O686" s="4" t="s">
        <v>28</v>
      </c>
      <c r="P686" s="4">
        <v>0</v>
      </c>
      <c r="Q686" s="4"/>
      <c r="R686" s="4" t="str">
        <f t="shared" si="44"/>
        <v>2019</v>
      </c>
      <c r="S686" s="4" t="str">
        <f t="shared" si="45"/>
        <v>August</v>
      </c>
      <c r="T686" s="4">
        <f t="shared" si="46"/>
        <v>0</v>
      </c>
      <c r="U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row>
    <row r="687" spans="1:53" ht="19.95" customHeight="1">
      <c r="A687" s="4">
        <v>686</v>
      </c>
      <c r="B687" s="4" t="s">
        <v>2085</v>
      </c>
      <c r="C687" s="4" t="s">
        <v>65</v>
      </c>
      <c r="D687" s="4"/>
      <c r="E687" s="4" t="s">
        <v>1594</v>
      </c>
      <c r="F687" s="4" t="s">
        <v>23</v>
      </c>
      <c r="G687" s="4" t="s">
        <v>24</v>
      </c>
      <c r="H687" s="4" t="s">
        <v>25</v>
      </c>
      <c r="I687" s="4" t="s">
        <v>2086</v>
      </c>
      <c r="J687" s="4"/>
      <c r="K687" s="5">
        <v>43685</v>
      </c>
      <c r="L687" s="5">
        <v>43687</v>
      </c>
      <c r="M687" s="5">
        <v>43690</v>
      </c>
      <c r="N687" s="6">
        <f t="shared" si="47"/>
        <v>3</v>
      </c>
      <c r="O687" s="4" t="s">
        <v>28</v>
      </c>
      <c r="P687" s="4">
        <v>0</v>
      </c>
      <c r="Q687" s="4"/>
      <c r="R687" s="4" t="str">
        <f t="shared" si="44"/>
        <v>2019</v>
      </c>
      <c r="S687" s="4" t="str">
        <f t="shared" si="45"/>
        <v>August</v>
      </c>
      <c r="T687" s="4">
        <f t="shared" si="46"/>
        <v>0</v>
      </c>
      <c r="U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row>
    <row r="688" spans="1:53" ht="19.95" customHeight="1">
      <c r="A688" s="4">
        <v>687</v>
      </c>
      <c r="B688" s="4" t="s">
        <v>2087</v>
      </c>
      <c r="C688" s="4" t="s">
        <v>65</v>
      </c>
      <c r="D688" s="4"/>
      <c r="E688" s="4" t="s">
        <v>1594</v>
      </c>
      <c r="F688" s="4" t="s">
        <v>589</v>
      </c>
      <c r="G688" s="4" t="s">
        <v>24</v>
      </c>
      <c r="H688" s="4" t="s">
        <v>346</v>
      </c>
      <c r="I688" s="4" t="s">
        <v>2088</v>
      </c>
      <c r="J688" s="4"/>
      <c r="K688" s="5">
        <v>43685</v>
      </c>
      <c r="L688" s="5">
        <v>43686</v>
      </c>
      <c r="M688" s="5">
        <v>43688</v>
      </c>
      <c r="N688" s="6">
        <f t="shared" si="47"/>
        <v>2</v>
      </c>
      <c r="O688" s="4" t="s">
        <v>28</v>
      </c>
      <c r="P688" s="4">
        <v>0</v>
      </c>
      <c r="Q688" s="4"/>
      <c r="R688" s="4" t="str">
        <f t="shared" si="44"/>
        <v>2019</v>
      </c>
      <c r="S688" s="4" t="str">
        <f t="shared" si="45"/>
        <v>August</v>
      </c>
      <c r="T688" s="4">
        <f t="shared" si="46"/>
        <v>0</v>
      </c>
      <c r="U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row>
    <row r="689" spans="1:53" ht="19.95" customHeight="1">
      <c r="A689" s="4">
        <v>688</v>
      </c>
      <c r="B689" s="4" t="s">
        <v>2089</v>
      </c>
      <c r="C689" s="4" t="s">
        <v>65</v>
      </c>
      <c r="D689" s="4"/>
      <c r="E689" s="4" t="s">
        <v>1434</v>
      </c>
      <c r="F689" s="4" t="s">
        <v>23</v>
      </c>
      <c r="G689" s="4" t="s">
        <v>24</v>
      </c>
      <c r="H689" s="4" t="s">
        <v>25</v>
      </c>
      <c r="I689" s="4" t="s">
        <v>2090</v>
      </c>
      <c r="J689" s="4" t="s">
        <v>2084</v>
      </c>
      <c r="K689" s="5">
        <v>43685</v>
      </c>
      <c r="L689" s="5">
        <v>43687</v>
      </c>
      <c r="M689" s="5">
        <v>43689</v>
      </c>
      <c r="N689" s="6">
        <f t="shared" si="47"/>
        <v>2</v>
      </c>
      <c r="O689" s="4" t="s">
        <v>28</v>
      </c>
      <c r="P689" s="4">
        <v>0</v>
      </c>
      <c r="Q689" s="4"/>
      <c r="R689" s="4" t="str">
        <f t="shared" si="44"/>
        <v>2019</v>
      </c>
      <c r="S689" s="4" t="str">
        <f t="shared" si="45"/>
        <v>August</v>
      </c>
      <c r="T689" s="4">
        <f t="shared" si="46"/>
        <v>0</v>
      </c>
      <c r="U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row>
    <row r="690" spans="1:53" ht="19.95" customHeight="1">
      <c r="A690" s="4">
        <v>689</v>
      </c>
      <c r="B690" s="4" t="s">
        <v>2091</v>
      </c>
      <c r="C690" s="4" t="s">
        <v>65</v>
      </c>
      <c r="D690" s="4"/>
      <c r="E690" s="4" t="s">
        <v>1934</v>
      </c>
      <c r="F690" s="4" t="s">
        <v>2092</v>
      </c>
      <c r="G690" s="4" t="s">
        <v>24</v>
      </c>
      <c r="H690" s="4" t="s">
        <v>2092</v>
      </c>
      <c r="I690" s="4" t="s">
        <v>2093</v>
      </c>
      <c r="J690" s="4" t="s">
        <v>2094</v>
      </c>
      <c r="K690" s="5">
        <v>43684</v>
      </c>
      <c r="L690" s="5">
        <v>43735</v>
      </c>
      <c r="M690" s="5">
        <v>43739</v>
      </c>
      <c r="N690" s="6">
        <f t="shared" si="47"/>
        <v>4</v>
      </c>
      <c r="O690" s="4" t="s">
        <v>28</v>
      </c>
      <c r="P690" s="4">
        <v>490</v>
      </c>
      <c r="Q690" s="4"/>
      <c r="R690" s="4" t="str">
        <f t="shared" si="44"/>
        <v>2019</v>
      </c>
      <c r="S690" s="4" t="str">
        <f t="shared" si="45"/>
        <v>September</v>
      </c>
      <c r="T690" s="4">
        <f t="shared" si="46"/>
        <v>490</v>
      </c>
      <c r="U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row>
    <row r="691" spans="1:53" ht="19.95" customHeight="1">
      <c r="A691" s="4">
        <v>690</v>
      </c>
      <c r="B691" s="4" t="s">
        <v>2095</v>
      </c>
      <c r="C691" s="4" t="s">
        <v>20</v>
      </c>
      <c r="D691" s="4"/>
      <c r="E691" s="4" t="s">
        <v>1594</v>
      </c>
      <c r="F691" s="4" t="s">
        <v>1790</v>
      </c>
      <c r="G691" s="4" t="s">
        <v>24</v>
      </c>
      <c r="H691" s="4" t="s">
        <v>1791</v>
      </c>
      <c r="I691" s="4" t="s">
        <v>2096</v>
      </c>
      <c r="J691" s="4"/>
      <c r="K691" s="5">
        <v>43683</v>
      </c>
      <c r="L691" s="5">
        <v>43695</v>
      </c>
      <c r="M691" s="5">
        <v>43700</v>
      </c>
      <c r="N691" s="6">
        <f t="shared" si="47"/>
        <v>5</v>
      </c>
      <c r="O691" s="4" t="s">
        <v>28</v>
      </c>
      <c r="P691" s="4">
        <v>615.92999999999995</v>
      </c>
      <c r="Q691" s="4"/>
      <c r="R691" s="4" t="str">
        <f t="shared" si="44"/>
        <v>2019</v>
      </c>
      <c r="S691" s="4" t="str">
        <f t="shared" si="45"/>
        <v>August</v>
      </c>
      <c r="T691" s="4">
        <f t="shared" si="46"/>
        <v>615.92999999999995</v>
      </c>
      <c r="U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row>
    <row r="692" spans="1:53" ht="19.95" customHeight="1">
      <c r="A692" s="4">
        <v>691</v>
      </c>
      <c r="B692" s="4" t="s">
        <v>2097</v>
      </c>
      <c r="C692" s="4" t="s">
        <v>20</v>
      </c>
      <c r="D692" s="4"/>
      <c r="E692" s="4" t="s">
        <v>614</v>
      </c>
      <c r="F692" s="4" t="s">
        <v>128</v>
      </c>
      <c r="G692" s="4" t="s">
        <v>24</v>
      </c>
      <c r="H692" s="4" t="s">
        <v>129</v>
      </c>
      <c r="I692" s="4" t="s">
        <v>2098</v>
      </c>
      <c r="J692" s="4" t="s">
        <v>2099</v>
      </c>
      <c r="K692" s="5">
        <v>43682</v>
      </c>
      <c r="L692" s="5">
        <v>43701</v>
      </c>
      <c r="M692" s="5">
        <v>43716</v>
      </c>
      <c r="N692" s="6">
        <f t="shared" si="47"/>
        <v>15</v>
      </c>
      <c r="O692" s="4" t="s">
        <v>2100</v>
      </c>
      <c r="P692" s="4">
        <v>6499</v>
      </c>
      <c r="Q692" s="4"/>
      <c r="R692" s="4" t="str">
        <f t="shared" si="44"/>
        <v>2019</v>
      </c>
      <c r="S692" s="4" t="str">
        <f t="shared" si="45"/>
        <v>August</v>
      </c>
      <c r="T692" s="4">
        <f t="shared" si="46"/>
        <v>6499</v>
      </c>
      <c r="U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row>
    <row r="693" spans="1:53" ht="19.95" customHeight="1">
      <c r="A693" s="4">
        <v>692</v>
      </c>
      <c r="B693" s="4" t="s">
        <v>2101</v>
      </c>
      <c r="C693" s="4" t="s">
        <v>20</v>
      </c>
      <c r="D693" s="4"/>
      <c r="E693" s="4" t="s">
        <v>1618</v>
      </c>
      <c r="F693" s="4" t="s">
        <v>24</v>
      </c>
      <c r="G693" s="4" t="s">
        <v>24</v>
      </c>
      <c r="H693" s="4" t="s">
        <v>200</v>
      </c>
      <c r="I693" s="4" t="s">
        <v>2102</v>
      </c>
      <c r="J693" s="4" t="s">
        <v>2103</v>
      </c>
      <c r="K693" s="5">
        <v>43680</v>
      </c>
      <c r="L693" s="5">
        <v>43683</v>
      </c>
      <c r="M693" s="5">
        <v>43684</v>
      </c>
      <c r="N693" s="6">
        <f t="shared" si="47"/>
        <v>1</v>
      </c>
      <c r="O693" s="4" t="s">
        <v>28</v>
      </c>
      <c r="P693" s="4">
        <v>236.81</v>
      </c>
      <c r="Q693" s="4"/>
      <c r="R693" s="4" t="str">
        <f t="shared" si="44"/>
        <v>2019</v>
      </c>
      <c r="S693" s="4" t="str">
        <f t="shared" si="45"/>
        <v>August</v>
      </c>
      <c r="T693" s="4">
        <f t="shared" si="46"/>
        <v>236.81</v>
      </c>
      <c r="U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row>
    <row r="694" spans="1:53" ht="19.95" customHeight="1">
      <c r="A694" s="4">
        <v>693</v>
      </c>
      <c r="B694" s="4" t="s">
        <v>2104</v>
      </c>
      <c r="C694" s="4" t="s">
        <v>20</v>
      </c>
      <c r="D694" s="4"/>
      <c r="E694" s="4" t="s">
        <v>614</v>
      </c>
      <c r="F694" s="4" t="s">
        <v>23</v>
      </c>
      <c r="G694" s="4" t="s">
        <v>24</v>
      </c>
      <c r="H694" s="4" t="s">
        <v>25</v>
      </c>
      <c r="I694" s="4" t="s">
        <v>2105</v>
      </c>
      <c r="J694" s="4" t="s">
        <v>2106</v>
      </c>
      <c r="K694" s="5">
        <v>43678</v>
      </c>
      <c r="L694" s="5">
        <v>43890</v>
      </c>
      <c r="M694" s="5">
        <v>43902</v>
      </c>
      <c r="N694" s="6">
        <f t="shared" si="47"/>
        <v>12</v>
      </c>
      <c r="O694" s="4" t="s">
        <v>28</v>
      </c>
      <c r="P694" s="4">
        <v>10565</v>
      </c>
      <c r="Q694" s="4"/>
      <c r="R694" s="4" t="str">
        <f t="shared" si="44"/>
        <v>2020</v>
      </c>
      <c r="S694" s="4" t="str">
        <f t="shared" si="45"/>
        <v>February</v>
      </c>
      <c r="T694" s="4">
        <f t="shared" si="46"/>
        <v>10565</v>
      </c>
      <c r="U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row>
    <row r="695" spans="1:53" ht="19.95" customHeight="1">
      <c r="A695" s="4">
        <v>694</v>
      </c>
      <c r="B695" s="4" t="s">
        <v>2107</v>
      </c>
      <c r="C695" s="4" t="s">
        <v>20</v>
      </c>
      <c r="D695" s="4"/>
      <c r="E695" s="4" t="s">
        <v>1567</v>
      </c>
      <c r="F695" s="4" t="s">
        <v>23</v>
      </c>
      <c r="G695" s="4" t="s">
        <v>24</v>
      </c>
      <c r="H695" s="4" t="s">
        <v>25</v>
      </c>
      <c r="I695" s="4" t="s">
        <v>2108</v>
      </c>
      <c r="J695" s="4" t="s">
        <v>2109</v>
      </c>
      <c r="K695" s="5">
        <v>43678</v>
      </c>
      <c r="L695" s="5">
        <v>43828</v>
      </c>
      <c r="M695" s="5">
        <v>43837</v>
      </c>
      <c r="N695" s="6">
        <f t="shared" si="47"/>
        <v>9</v>
      </c>
      <c r="O695" s="4" t="s">
        <v>28</v>
      </c>
      <c r="P695" s="4">
        <v>20036.939999999999</v>
      </c>
      <c r="Q695" s="4"/>
      <c r="R695" s="4" t="str">
        <f t="shared" si="44"/>
        <v>2019</v>
      </c>
      <c r="S695" s="4" t="str">
        <f t="shared" si="45"/>
        <v>December</v>
      </c>
      <c r="T695" s="4">
        <f t="shared" si="46"/>
        <v>20036.939999999999</v>
      </c>
      <c r="U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row>
    <row r="696" spans="1:53" ht="19.95" customHeight="1">
      <c r="A696" s="4">
        <v>695</v>
      </c>
      <c r="B696" s="4" t="s">
        <v>2110</v>
      </c>
      <c r="C696" s="4" t="s">
        <v>20</v>
      </c>
      <c r="D696" s="4"/>
      <c r="E696" s="4" t="s">
        <v>2111</v>
      </c>
      <c r="F696" s="4" t="s">
        <v>2112</v>
      </c>
      <c r="G696" s="4" t="s">
        <v>24</v>
      </c>
      <c r="H696" s="4" t="s">
        <v>2113</v>
      </c>
      <c r="I696" s="4" t="s">
        <v>2114</v>
      </c>
      <c r="J696" s="4" t="s">
        <v>2115</v>
      </c>
      <c r="K696" s="5">
        <v>43669</v>
      </c>
      <c r="L696" s="5">
        <v>43824</v>
      </c>
      <c r="M696" s="5">
        <v>43832</v>
      </c>
      <c r="N696" s="6">
        <f t="shared" si="47"/>
        <v>8</v>
      </c>
      <c r="O696" s="4" t="s">
        <v>28</v>
      </c>
      <c r="P696" s="4">
        <v>4015.02</v>
      </c>
      <c r="Q696" s="4"/>
      <c r="R696" s="4" t="str">
        <f t="shared" si="44"/>
        <v>2019</v>
      </c>
      <c r="S696" s="4" t="str">
        <f t="shared" si="45"/>
        <v>December</v>
      </c>
      <c r="T696" s="4">
        <f t="shared" si="46"/>
        <v>4015.02</v>
      </c>
      <c r="U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row>
    <row r="697" spans="1:53" ht="19.95" customHeight="1">
      <c r="A697" s="4">
        <v>696</v>
      </c>
      <c r="B697" s="4" t="s">
        <v>2116</v>
      </c>
      <c r="C697" s="4" t="s">
        <v>20</v>
      </c>
      <c r="D697" s="4"/>
      <c r="E697" s="4" t="s">
        <v>614</v>
      </c>
      <c r="F697" s="4" t="s">
        <v>23</v>
      </c>
      <c r="G697" s="4" t="s">
        <v>24</v>
      </c>
      <c r="H697" s="4" t="s">
        <v>25</v>
      </c>
      <c r="I697" s="4" t="s">
        <v>2117</v>
      </c>
      <c r="J697" s="4" t="s">
        <v>2118</v>
      </c>
      <c r="K697" s="5">
        <v>43668</v>
      </c>
      <c r="L697" s="5">
        <v>43675</v>
      </c>
      <c r="M697" s="5">
        <v>43676</v>
      </c>
      <c r="N697" s="6">
        <f t="shared" si="47"/>
        <v>1</v>
      </c>
      <c r="O697" s="4" t="s">
        <v>28</v>
      </c>
      <c r="P697" s="4">
        <v>1656</v>
      </c>
      <c r="Q697" s="4"/>
      <c r="R697" s="4" t="str">
        <f t="shared" si="44"/>
        <v>2019</v>
      </c>
      <c r="S697" s="4" t="str">
        <f t="shared" si="45"/>
        <v>July</v>
      </c>
      <c r="T697" s="4">
        <f t="shared" si="46"/>
        <v>1656</v>
      </c>
      <c r="U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row>
    <row r="698" spans="1:53" ht="19.95" customHeight="1">
      <c r="A698" s="4">
        <v>697</v>
      </c>
      <c r="B698" s="4" t="s">
        <v>2119</v>
      </c>
      <c r="C698" s="4" t="s">
        <v>20</v>
      </c>
      <c r="D698" s="4"/>
      <c r="E698" s="4" t="s">
        <v>1567</v>
      </c>
      <c r="F698" s="4" t="s">
        <v>23</v>
      </c>
      <c r="G698" s="4" t="s">
        <v>24</v>
      </c>
      <c r="H698" s="4" t="s">
        <v>25</v>
      </c>
      <c r="I698" s="4" t="s">
        <v>2120</v>
      </c>
      <c r="J698" s="4" t="s">
        <v>2121</v>
      </c>
      <c r="K698" s="5">
        <v>43668</v>
      </c>
      <c r="L698" s="5">
        <v>43846</v>
      </c>
      <c r="M698" s="5">
        <v>43862</v>
      </c>
      <c r="N698" s="6">
        <f t="shared" si="47"/>
        <v>16</v>
      </c>
      <c r="O698" s="4" t="s">
        <v>28</v>
      </c>
      <c r="P698" s="4">
        <v>8281.2900000000009</v>
      </c>
      <c r="Q698" s="4"/>
      <c r="R698" s="4" t="str">
        <f t="shared" si="44"/>
        <v>2020</v>
      </c>
      <c r="S698" s="4" t="str">
        <f t="shared" si="45"/>
        <v>January</v>
      </c>
      <c r="T698" s="4">
        <f t="shared" si="46"/>
        <v>8281.2900000000009</v>
      </c>
      <c r="U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row>
    <row r="699" spans="1:53" ht="19.95" customHeight="1">
      <c r="A699" s="4">
        <v>698</v>
      </c>
      <c r="B699" s="4" t="s">
        <v>2122</v>
      </c>
      <c r="C699" s="4" t="s">
        <v>65</v>
      </c>
      <c r="D699" s="4"/>
      <c r="E699" s="4" t="s">
        <v>1594</v>
      </c>
      <c r="F699" s="4" t="s">
        <v>116</v>
      </c>
      <c r="G699" s="4" t="s">
        <v>24</v>
      </c>
      <c r="H699" s="4" t="s">
        <v>117</v>
      </c>
      <c r="I699" s="4" t="s">
        <v>2123</v>
      </c>
      <c r="J699" s="4"/>
      <c r="K699" s="5">
        <v>43664</v>
      </c>
      <c r="L699" s="5">
        <v>43671</v>
      </c>
      <c r="M699" s="5">
        <v>43683</v>
      </c>
      <c r="N699" s="6">
        <f t="shared" si="47"/>
        <v>12</v>
      </c>
      <c r="O699" s="4" t="s">
        <v>28</v>
      </c>
      <c r="P699" s="4">
        <v>2675</v>
      </c>
      <c r="Q699" s="4"/>
      <c r="R699" s="4" t="str">
        <f t="shared" si="44"/>
        <v>2019</v>
      </c>
      <c r="S699" s="4" t="str">
        <f t="shared" si="45"/>
        <v>July</v>
      </c>
      <c r="T699" s="4">
        <f t="shared" si="46"/>
        <v>2675</v>
      </c>
      <c r="U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row>
    <row r="700" spans="1:53" ht="19.95" customHeight="1">
      <c r="A700" s="4">
        <v>699</v>
      </c>
      <c r="B700" s="4" t="s">
        <v>2124</v>
      </c>
      <c r="C700" s="4" t="s">
        <v>20</v>
      </c>
      <c r="D700" s="4"/>
      <c r="E700" s="4" t="s">
        <v>1594</v>
      </c>
      <c r="F700" s="4" t="s">
        <v>23</v>
      </c>
      <c r="G700" s="4" t="s">
        <v>24</v>
      </c>
      <c r="H700" s="4" t="s">
        <v>25</v>
      </c>
      <c r="I700" s="4" t="s">
        <v>2125</v>
      </c>
      <c r="J700" s="4" t="s">
        <v>2126</v>
      </c>
      <c r="K700" s="5">
        <v>43657</v>
      </c>
      <c r="L700" s="5">
        <v>43663</v>
      </c>
      <c r="M700" s="5">
        <v>43669</v>
      </c>
      <c r="N700" s="6">
        <f t="shared" si="47"/>
        <v>6</v>
      </c>
      <c r="O700" s="4" t="s">
        <v>28</v>
      </c>
      <c r="P700" s="4">
        <v>7984.67</v>
      </c>
      <c r="Q700" s="4"/>
      <c r="R700" s="4" t="str">
        <f t="shared" si="44"/>
        <v>2019</v>
      </c>
      <c r="S700" s="4" t="str">
        <f t="shared" si="45"/>
        <v>July</v>
      </c>
      <c r="T700" s="4">
        <f t="shared" si="46"/>
        <v>7984.67</v>
      </c>
      <c r="U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row>
    <row r="701" spans="1:53" ht="19.95" customHeight="1">
      <c r="A701" s="4">
        <v>700</v>
      </c>
      <c r="B701" s="4" t="s">
        <v>2127</v>
      </c>
      <c r="C701" s="4" t="s">
        <v>20</v>
      </c>
      <c r="D701" s="4"/>
      <c r="E701" s="4" t="s">
        <v>1567</v>
      </c>
      <c r="F701" s="4" t="s">
        <v>593</v>
      </c>
      <c r="G701" s="4" t="s">
        <v>24</v>
      </c>
      <c r="H701" s="4" t="s">
        <v>594</v>
      </c>
      <c r="I701" s="4" t="s">
        <v>2128</v>
      </c>
      <c r="J701" s="4" t="s">
        <v>2129</v>
      </c>
      <c r="K701" s="5">
        <v>43655</v>
      </c>
      <c r="L701" s="5">
        <v>43696</v>
      </c>
      <c r="M701" s="5">
        <v>43701</v>
      </c>
      <c r="N701" s="6">
        <f t="shared" si="47"/>
        <v>5</v>
      </c>
      <c r="O701" s="4" t="s">
        <v>28</v>
      </c>
      <c r="P701" s="4">
        <v>4582</v>
      </c>
      <c r="Q701" s="4"/>
      <c r="R701" s="4" t="str">
        <f t="shared" si="44"/>
        <v>2019</v>
      </c>
      <c r="S701" s="4" t="str">
        <f t="shared" si="45"/>
        <v>August</v>
      </c>
      <c r="T701" s="4">
        <f t="shared" si="46"/>
        <v>4582</v>
      </c>
      <c r="U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row>
    <row r="702" spans="1:53" ht="19.95" customHeight="1">
      <c r="A702" s="4">
        <v>701</v>
      </c>
      <c r="B702" s="4" t="s">
        <v>2130</v>
      </c>
      <c r="C702" s="4" t="s">
        <v>20</v>
      </c>
      <c r="D702" s="4"/>
      <c r="E702" s="4" t="s">
        <v>1523</v>
      </c>
      <c r="F702" s="4" t="s">
        <v>1214</v>
      </c>
      <c r="G702" s="4" t="s">
        <v>24</v>
      </c>
      <c r="H702" s="4" t="s">
        <v>200</v>
      </c>
      <c r="I702" s="4" t="s">
        <v>2131</v>
      </c>
      <c r="J702" s="4" t="s">
        <v>2132</v>
      </c>
      <c r="K702" s="5">
        <v>43654</v>
      </c>
      <c r="L702" s="5">
        <v>43695</v>
      </c>
      <c r="M702" s="5">
        <v>43695</v>
      </c>
      <c r="N702" s="6">
        <f t="shared" si="47"/>
        <v>0</v>
      </c>
      <c r="O702" s="4" t="s">
        <v>28</v>
      </c>
      <c r="P702" s="4">
        <v>1585</v>
      </c>
      <c r="Q702" s="4"/>
      <c r="R702" s="4" t="str">
        <f t="shared" si="44"/>
        <v>2019</v>
      </c>
      <c r="S702" s="4" t="str">
        <f t="shared" si="45"/>
        <v>August</v>
      </c>
      <c r="T702" s="4">
        <f t="shared" si="46"/>
        <v>1585</v>
      </c>
      <c r="U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row>
    <row r="703" spans="1:53" ht="19.95" customHeight="1">
      <c r="A703" s="4">
        <v>702</v>
      </c>
      <c r="B703" s="4" t="s">
        <v>2133</v>
      </c>
      <c r="C703" s="4" t="s">
        <v>65</v>
      </c>
      <c r="D703" s="4"/>
      <c r="E703" s="4" t="s">
        <v>1434</v>
      </c>
      <c r="F703" s="4" t="s">
        <v>23</v>
      </c>
      <c r="G703" s="4" t="s">
        <v>24</v>
      </c>
      <c r="H703" s="4" t="s">
        <v>25</v>
      </c>
      <c r="I703" s="4" t="s">
        <v>2134</v>
      </c>
      <c r="J703" s="4" t="s">
        <v>2135</v>
      </c>
      <c r="K703" s="5">
        <v>43651</v>
      </c>
      <c r="L703" s="5">
        <v>43658</v>
      </c>
      <c r="M703" s="5">
        <v>43664</v>
      </c>
      <c r="N703" s="6">
        <f t="shared" si="47"/>
        <v>6</v>
      </c>
      <c r="O703" s="4" t="s">
        <v>28</v>
      </c>
      <c r="P703" s="4">
        <v>5091</v>
      </c>
      <c r="Q703" s="4"/>
      <c r="R703" s="4" t="str">
        <f t="shared" si="44"/>
        <v>2019</v>
      </c>
      <c r="S703" s="4" t="str">
        <f t="shared" si="45"/>
        <v>July</v>
      </c>
      <c r="T703" s="4">
        <f t="shared" si="46"/>
        <v>5091</v>
      </c>
      <c r="U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row>
    <row r="704" spans="1:53" ht="19.95" customHeight="1">
      <c r="A704" s="4">
        <v>703</v>
      </c>
      <c r="B704" s="4" t="s">
        <v>2136</v>
      </c>
      <c r="C704" s="4" t="s">
        <v>20</v>
      </c>
      <c r="D704" s="4"/>
      <c r="E704" s="4" t="s">
        <v>1618</v>
      </c>
      <c r="F704" s="4" t="s">
        <v>24</v>
      </c>
      <c r="G704" s="4" t="s">
        <v>24</v>
      </c>
      <c r="H704" s="4" t="s">
        <v>200</v>
      </c>
      <c r="I704" s="4" t="s">
        <v>2137</v>
      </c>
      <c r="J704" s="4" t="s">
        <v>1592</v>
      </c>
      <c r="K704" s="5">
        <v>43651</v>
      </c>
      <c r="L704" s="5">
        <v>43651</v>
      </c>
      <c r="M704" s="5">
        <v>43653</v>
      </c>
      <c r="N704" s="6">
        <f t="shared" si="47"/>
        <v>2</v>
      </c>
      <c r="O704" s="4" t="s">
        <v>28</v>
      </c>
      <c r="P704" s="4">
        <v>470.48</v>
      </c>
      <c r="Q704" s="4"/>
      <c r="R704" s="4" t="str">
        <f t="shared" si="44"/>
        <v>2019</v>
      </c>
      <c r="S704" s="4" t="str">
        <f t="shared" si="45"/>
        <v>July</v>
      </c>
      <c r="T704" s="4">
        <f t="shared" si="46"/>
        <v>470.48</v>
      </c>
      <c r="U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row>
    <row r="705" spans="1:53" ht="19.95" customHeight="1">
      <c r="A705" s="4">
        <v>704</v>
      </c>
      <c r="B705" s="4" t="s">
        <v>2138</v>
      </c>
      <c r="C705" s="4" t="s">
        <v>65</v>
      </c>
      <c r="D705" s="4"/>
      <c r="E705" s="4" t="s">
        <v>2139</v>
      </c>
      <c r="F705" s="4" t="s">
        <v>589</v>
      </c>
      <c r="G705" s="4" t="s">
        <v>24</v>
      </c>
      <c r="H705" s="4" t="s">
        <v>346</v>
      </c>
      <c r="I705" s="4" t="s">
        <v>2140</v>
      </c>
      <c r="J705" s="4" t="s">
        <v>2141</v>
      </c>
      <c r="K705" s="5">
        <v>43650</v>
      </c>
      <c r="L705" s="5">
        <v>43694</v>
      </c>
      <c r="M705" s="5">
        <v>43702</v>
      </c>
      <c r="N705" s="6">
        <f t="shared" si="47"/>
        <v>8</v>
      </c>
      <c r="O705" s="4" t="s">
        <v>28</v>
      </c>
      <c r="P705" s="4">
        <v>19477.330000000002</v>
      </c>
      <c r="Q705" s="4"/>
      <c r="R705" s="4" t="str">
        <f t="shared" si="44"/>
        <v>2019</v>
      </c>
      <c r="S705" s="4" t="str">
        <f t="shared" si="45"/>
        <v>August</v>
      </c>
      <c r="T705" s="4">
        <f t="shared" si="46"/>
        <v>19477.330000000002</v>
      </c>
      <c r="U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row>
    <row r="706" spans="1:53" ht="19.95" customHeight="1">
      <c r="A706" s="4">
        <v>705</v>
      </c>
      <c r="B706" s="4" t="s">
        <v>2142</v>
      </c>
      <c r="C706" s="4" t="s">
        <v>65</v>
      </c>
      <c r="D706" s="4"/>
      <c r="E706" s="4" t="s">
        <v>2143</v>
      </c>
      <c r="F706" s="4" t="s">
        <v>589</v>
      </c>
      <c r="G706" s="4" t="s">
        <v>24</v>
      </c>
      <c r="H706" s="4" t="s">
        <v>346</v>
      </c>
      <c r="I706" s="4" t="s">
        <v>2144</v>
      </c>
      <c r="J706" s="4" t="s">
        <v>2145</v>
      </c>
      <c r="K706" s="5">
        <v>43650</v>
      </c>
      <c r="L706" s="5">
        <v>43696</v>
      </c>
      <c r="M706" s="5">
        <v>43707</v>
      </c>
      <c r="N706" s="6">
        <f t="shared" si="47"/>
        <v>11</v>
      </c>
      <c r="O706" s="4" t="s">
        <v>28</v>
      </c>
      <c r="P706" s="4">
        <v>3910.02</v>
      </c>
      <c r="Q706" s="4"/>
      <c r="R706" s="4" t="str">
        <f t="shared" ref="R706:R769" si="48">TEXT(L706,"YYY")</f>
        <v>2019</v>
      </c>
      <c r="S706" s="4" t="str">
        <f t="shared" ref="S706:S769" si="49">TEXT(L706,"MMMM")</f>
        <v>August</v>
      </c>
      <c r="T706" s="4">
        <f t="shared" ref="T706:T769" si="50">P706</f>
        <v>3910.02</v>
      </c>
      <c r="U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row>
    <row r="707" spans="1:53" ht="19.95" customHeight="1">
      <c r="A707" s="4">
        <v>706</v>
      </c>
      <c r="B707" s="4" t="s">
        <v>2146</v>
      </c>
      <c r="C707" s="4" t="s">
        <v>20</v>
      </c>
      <c r="D707" s="4"/>
      <c r="E707" s="4" t="s">
        <v>1567</v>
      </c>
      <c r="F707" s="4" t="s">
        <v>593</v>
      </c>
      <c r="G707" s="4" t="s">
        <v>24</v>
      </c>
      <c r="H707" s="4" t="s">
        <v>594</v>
      </c>
      <c r="I707" s="4" t="s">
        <v>2147</v>
      </c>
      <c r="J707" s="4" t="s">
        <v>2148</v>
      </c>
      <c r="K707" s="5">
        <v>43650</v>
      </c>
      <c r="L707" s="5">
        <v>43681</v>
      </c>
      <c r="M707" s="5">
        <v>43696</v>
      </c>
      <c r="N707" s="6">
        <f t="shared" si="47"/>
        <v>15</v>
      </c>
      <c r="O707" s="4" t="s">
        <v>28</v>
      </c>
      <c r="P707" s="4">
        <v>11190</v>
      </c>
      <c r="Q707" s="4"/>
      <c r="R707" s="4" t="str">
        <f t="shared" si="48"/>
        <v>2019</v>
      </c>
      <c r="S707" s="4" t="str">
        <f t="shared" si="49"/>
        <v>August</v>
      </c>
      <c r="T707" s="4">
        <f t="shared" si="50"/>
        <v>11190</v>
      </c>
      <c r="U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row>
    <row r="708" spans="1:53" ht="19.95" customHeight="1">
      <c r="A708" s="4">
        <v>707</v>
      </c>
      <c r="B708" s="4" t="s">
        <v>2149</v>
      </c>
      <c r="C708" s="4" t="s">
        <v>20</v>
      </c>
      <c r="D708" s="4"/>
      <c r="E708" s="4" t="s">
        <v>1814</v>
      </c>
      <c r="F708" s="4" t="s">
        <v>285</v>
      </c>
      <c r="G708" s="4" t="s">
        <v>24</v>
      </c>
      <c r="H708" s="4" t="s">
        <v>286</v>
      </c>
      <c r="I708" s="4" t="s">
        <v>2150</v>
      </c>
      <c r="J708" s="4" t="s">
        <v>2151</v>
      </c>
      <c r="K708" s="5">
        <v>43648</v>
      </c>
      <c r="L708" s="5">
        <v>43700</v>
      </c>
      <c r="M708" s="5">
        <v>43711</v>
      </c>
      <c r="N708" s="6">
        <f t="shared" si="47"/>
        <v>11</v>
      </c>
      <c r="O708" s="4" t="s">
        <v>28</v>
      </c>
      <c r="P708" s="4">
        <v>3598.48</v>
      </c>
      <c r="Q708" s="4"/>
      <c r="R708" s="4" t="str">
        <f t="shared" si="48"/>
        <v>2019</v>
      </c>
      <c r="S708" s="4" t="str">
        <f t="shared" si="49"/>
        <v>August</v>
      </c>
      <c r="T708" s="4">
        <f t="shared" si="50"/>
        <v>3598.48</v>
      </c>
      <c r="U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row>
    <row r="709" spans="1:53" ht="19.95" customHeight="1">
      <c r="A709" s="4">
        <v>708</v>
      </c>
      <c r="B709" s="4" t="s">
        <v>2152</v>
      </c>
      <c r="C709" s="4" t="s">
        <v>65</v>
      </c>
      <c r="D709" s="4"/>
      <c r="E709" s="4" t="s">
        <v>1759</v>
      </c>
      <c r="F709" s="4" t="s">
        <v>48</v>
      </c>
      <c r="G709" s="4" t="s">
        <v>24</v>
      </c>
      <c r="H709" s="4" t="s">
        <v>49</v>
      </c>
      <c r="I709" s="4" t="s">
        <v>2153</v>
      </c>
      <c r="J709" s="4" t="s">
        <v>2154</v>
      </c>
      <c r="K709" s="5">
        <v>43642</v>
      </c>
      <c r="L709" s="5">
        <v>43805</v>
      </c>
      <c r="M709" s="5">
        <v>43844</v>
      </c>
      <c r="N709" s="6">
        <f t="shared" si="47"/>
        <v>39</v>
      </c>
      <c r="O709" s="4" t="s">
        <v>28</v>
      </c>
      <c r="P709" s="4">
        <v>28464</v>
      </c>
      <c r="Q709" s="4"/>
      <c r="R709" s="4" t="str">
        <f t="shared" si="48"/>
        <v>2019</v>
      </c>
      <c r="S709" s="4" t="str">
        <f t="shared" si="49"/>
        <v>December</v>
      </c>
      <c r="T709" s="4">
        <f t="shared" si="50"/>
        <v>28464</v>
      </c>
      <c r="U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row>
    <row r="710" spans="1:53" ht="19.95" customHeight="1">
      <c r="A710" s="4">
        <v>709</v>
      </c>
      <c r="B710" s="4" t="s">
        <v>2155</v>
      </c>
      <c r="C710" s="4" t="s">
        <v>20</v>
      </c>
      <c r="D710" s="4"/>
      <c r="E710" s="4" t="s">
        <v>1124</v>
      </c>
      <c r="F710" s="4" t="s">
        <v>48</v>
      </c>
      <c r="G710" s="4" t="s">
        <v>24</v>
      </c>
      <c r="H710" s="4" t="s">
        <v>49</v>
      </c>
      <c r="I710" s="4" t="s">
        <v>2156</v>
      </c>
      <c r="J710" s="4" t="s">
        <v>2157</v>
      </c>
      <c r="K710" s="5">
        <v>43641</v>
      </c>
      <c r="L710" s="5">
        <v>43820</v>
      </c>
      <c r="M710" s="5">
        <v>43832</v>
      </c>
      <c r="N710" s="6">
        <f t="shared" si="47"/>
        <v>12</v>
      </c>
      <c r="O710" s="4" t="s">
        <v>28</v>
      </c>
      <c r="P710" s="4">
        <v>7934</v>
      </c>
      <c r="Q710" s="4"/>
      <c r="R710" s="4" t="str">
        <f t="shared" si="48"/>
        <v>2019</v>
      </c>
      <c r="S710" s="4" t="str">
        <f t="shared" si="49"/>
        <v>December</v>
      </c>
      <c r="T710" s="4">
        <f t="shared" si="50"/>
        <v>7934</v>
      </c>
      <c r="U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row>
    <row r="711" spans="1:53" ht="19.95" customHeight="1">
      <c r="A711" s="4">
        <v>710</v>
      </c>
      <c r="B711" s="4" t="s">
        <v>2158</v>
      </c>
      <c r="C711" s="4" t="s">
        <v>20</v>
      </c>
      <c r="D711" s="4"/>
      <c r="E711" s="4" t="s">
        <v>1124</v>
      </c>
      <c r="F711" s="4" t="s">
        <v>23</v>
      </c>
      <c r="G711" s="4" t="s">
        <v>24</v>
      </c>
      <c r="H711" s="4" t="s">
        <v>25</v>
      </c>
      <c r="I711" s="4" t="s">
        <v>2159</v>
      </c>
      <c r="J711" s="4" t="s">
        <v>2160</v>
      </c>
      <c r="K711" s="5">
        <v>43641</v>
      </c>
      <c r="L711" s="5">
        <v>43676</v>
      </c>
      <c r="M711" s="5">
        <v>43696</v>
      </c>
      <c r="N711" s="6">
        <f t="shared" si="47"/>
        <v>20</v>
      </c>
      <c r="O711" s="4" t="s">
        <v>28</v>
      </c>
      <c r="P711" s="4">
        <v>8545</v>
      </c>
      <c r="Q711" s="4"/>
      <c r="R711" s="4" t="str">
        <f t="shared" si="48"/>
        <v>2019</v>
      </c>
      <c r="S711" s="4" t="str">
        <f t="shared" si="49"/>
        <v>July</v>
      </c>
      <c r="T711" s="4">
        <f t="shared" si="50"/>
        <v>8545</v>
      </c>
      <c r="U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row>
    <row r="712" spans="1:53" ht="19.95" customHeight="1">
      <c r="A712" s="4">
        <v>711</v>
      </c>
      <c r="B712" s="4" t="s">
        <v>2161</v>
      </c>
      <c r="C712" s="4" t="s">
        <v>20</v>
      </c>
      <c r="D712" s="4"/>
      <c r="E712" s="4" t="s">
        <v>1124</v>
      </c>
      <c r="F712" s="4" t="s">
        <v>23</v>
      </c>
      <c r="G712" s="4" t="s">
        <v>24</v>
      </c>
      <c r="H712" s="4" t="s">
        <v>25</v>
      </c>
      <c r="I712" s="4" t="s">
        <v>2162</v>
      </c>
      <c r="J712" s="4"/>
      <c r="K712" s="5">
        <v>43641</v>
      </c>
      <c r="L712" s="5">
        <v>43792</v>
      </c>
      <c r="M712" s="5">
        <v>43806</v>
      </c>
      <c r="N712" s="6">
        <f t="shared" si="47"/>
        <v>14</v>
      </c>
      <c r="O712" s="4" t="s">
        <v>28</v>
      </c>
      <c r="P712" s="4">
        <v>15329</v>
      </c>
      <c r="Q712" s="4"/>
      <c r="R712" s="4" t="str">
        <f t="shared" si="48"/>
        <v>2019</v>
      </c>
      <c r="S712" s="4" t="str">
        <f t="shared" si="49"/>
        <v>November</v>
      </c>
      <c r="T712" s="4">
        <f t="shared" si="50"/>
        <v>15329</v>
      </c>
      <c r="U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row>
    <row r="713" spans="1:53" ht="19.95" customHeight="1">
      <c r="A713" s="4">
        <v>712</v>
      </c>
      <c r="B713" s="4" t="s">
        <v>2163</v>
      </c>
      <c r="C713" s="4" t="s">
        <v>65</v>
      </c>
      <c r="D713" s="4"/>
      <c r="E713" s="4" t="s">
        <v>2143</v>
      </c>
      <c r="F713" s="4" t="s">
        <v>589</v>
      </c>
      <c r="G713" s="4" t="s">
        <v>24</v>
      </c>
      <c r="H713" s="4" t="s">
        <v>346</v>
      </c>
      <c r="I713" s="4" t="s">
        <v>2164</v>
      </c>
      <c r="J713" s="4" t="s">
        <v>2165</v>
      </c>
      <c r="K713" s="5">
        <v>43640</v>
      </c>
      <c r="L713" s="5">
        <v>43662</v>
      </c>
      <c r="M713" s="5">
        <v>43708</v>
      </c>
      <c r="N713" s="6">
        <f t="shared" si="47"/>
        <v>46</v>
      </c>
      <c r="O713" s="4" t="s">
        <v>28</v>
      </c>
      <c r="P713" s="4">
        <v>21152</v>
      </c>
      <c r="Q713" s="4"/>
      <c r="R713" s="4" t="str">
        <f t="shared" si="48"/>
        <v>2019</v>
      </c>
      <c r="S713" s="4" t="str">
        <f t="shared" si="49"/>
        <v>July</v>
      </c>
      <c r="T713" s="4">
        <f t="shared" si="50"/>
        <v>21152</v>
      </c>
      <c r="U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row>
    <row r="714" spans="1:53" ht="19.95" customHeight="1">
      <c r="A714" s="4">
        <v>713</v>
      </c>
      <c r="B714" s="4" t="s">
        <v>2166</v>
      </c>
      <c r="C714" s="4" t="s">
        <v>65</v>
      </c>
      <c r="D714" s="4"/>
      <c r="E714" s="4" t="s">
        <v>2143</v>
      </c>
      <c r="F714" s="4" t="s">
        <v>589</v>
      </c>
      <c r="G714" s="4" t="s">
        <v>24</v>
      </c>
      <c r="H714" s="4" t="s">
        <v>346</v>
      </c>
      <c r="I714" s="4" t="s">
        <v>2167</v>
      </c>
      <c r="J714" s="4" t="s">
        <v>2168</v>
      </c>
      <c r="K714" s="5">
        <v>43635</v>
      </c>
      <c r="L714" s="5">
        <v>43676</v>
      </c>
      <c r="M714" s="5">
        <v>43692</v>
      </c>
      <c r="N714" s="6">
        <f t="shared" si="47"/>
        <v>16</v>
      </c>
      <c r="O714" s="4" t="s">
        <v>28</v>
      </c>
      <c r="P714" s="4">
        <v>4270.66</v>
      </c>
      <c r="Q714" s="4"/>
      <c r="R714" s="4" t="str">
        <f t="shared" si="48"/>
        <v>2019</v>
      </c>
      <c r="S714" s="4" t="str">
        <f t="shared" si="49"/>
        <v>July</v>
      </c>
      <c r="T714" s="4">
        <f t="shared" si="50"/>
        <v>4270.66</v>
      </c>
      <c r="U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row>
    <row r="715" spans="1:53" ht="19.95" customHeight="1">
      <c r="A715" s="4">
        <v>714</v>
      </c>
      <c r="B715" s="4" t="s">
        <v>2169</v>
      </c>
      <c r="C715" s="4" t="s">
        <v>20</v>
      </c>
      <c r="D715" s="4"/>
      <c r="E715" s="4" t="s">
        <v>614</v>
      </c>
      <c r="F715" s="4" t="s">
        <v>23</v>
      </c>
      <c r="G715" s="4" t="s">
        <v>24</v>
      </c>
      <c r="H715" s="4" t="s">
        <v>25</v>
      </c>
      <c r="I715" s="4" t="s">
        <v>2170</v>
      </c>
      <c r="J715" s="4" t="s">
        <v>2171</v>
      </c>
      <c r="K715" s="5">
        <v>43635</v>
      </c>
      <c r="L715" s="5">
        <v>43871</v>
      </c>
      <c r="M715" s="5">
        <v>43886</v>
      </c>
      <c r="N715" s="6">
        <f t="shared" si="47"/>
        <v>15</v>
      </c>
      <c r="O715" s="4" t="s">
        <v>28</v>
      </c>
      <c r="P715" s="4">
        <v>11558</v>
      </c>
      <c r="Q715" s="4"/>
      <c r="R715" s="4" t="str">
        <f t="shared" si="48"/>
        <v>2020</v>
      </c>
      <c r="S715" s="4" t="str">
        <f t="shared" si="49"/>
        <v>February</v>
      </c>
      <c r="T715" s="4">
        <f t="shared" si="50"/>
        <v>11558</v>
      </c>
      <c r="U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row>
    <row r="716" spans="1:53" ht="19.95" customHeight="1">
      <c r="A716" s="4">
        <v>715</v>
      </c>
      <c r="B716" s="4" t="s">
        <v>2172</v>
      </c>
      <c r="C716" s="4" t="s">
        <v>20</v>
      </c>
      <c r="D716" s="4"/>
      <c r="E716" s="4" t="s">
        <v>1567</v>
      </c>
      <c r="F716" s="4" t="s">
        <v>23</v>
      </c>
      <c r="G716" s="4" t="s">
        <v>24</v>
      </c>
      <c r="H716" s="4" t="s">
        <v>25</v>
      </c>
      <c r="I716" s="4" t="s">
        <v>2173</v>
      </c>
      <c r="J716" s="4" t="s">
        <v>2174</v>
      </c>
      <c r="K716" s="5">
        <v>43633</v>
      </c>
      <c r="L716" s="5">
        <v>43658</v>
      </c>
      <c r="M716" s="5">
        <v>43672</v>
      </c>
      <c r="N716" s="6">
        <f t="shared" si="47"/>
        <v>14</v>
      </c>
      <c r="O716" s="4" t="s">
        <v>334</v>
      </c>
      <c r="P716" s="4">
        <v>6775</v>
      </c>
      <c r="Q716" s="4"/>
      <c r="R716" s="4" t="str">
        <f t="shared" si="48"/>
        <v>2019</v>
      </c>
      <c r="S716" s="4" t="str">
        <f t="shared" si="49"/>
        <v>July</v>
      </c>
      <c r="T716" s="4">
        <f t="shared" si="50"/>
        <v>6775</v>
      </c>
      <c r="U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row>
    <row r="717" spans="1:53" ht="19.95" customHeight="1">
      <c r="A717" s="4">
        <v>716</v>
      </c>
      <c r="B717" s="4" t="s">
        <v>2175</v>
      </c>
      <c r="C717" s="4" t="s">
        <v>65</v>
      </c>
      <c r="D717" s="4"/>
      <c r="E717" s="4" t="s">
        <v>455</v>
      </c>
      <c r="F717" s="4" t="s">
        <v>116</v>
      </c>
      <c r="G717" s="4" t="s">
        <v>24</v>
      </c>
      <c r="H717" s="4" t="s">
        <v>117</v>
      </c>
      <c r="I717" s="4" t="s">
        <v>2176</v>
      </c>
      <c r="J717" s="4" t="s">
        <v>2177</v>
      </c>
      <c r="K717" s="5">
        <v>43633</v>
      </c>
      <c r="L717" s="5">
        <v>43683</v>
      </c>
      <c r="M717" s="5">
        <v>43700</v>
      </c>
      <c r="N717" s="6">
        <f t="shared" si="47"/>
        <v>17</v>
      </c>
      <c r="O717" s="4" t="s">
        <v>28</v>
      </c>
      <c r="P717" s="4">
        <v>14418.04</v>
      </c>
      <c r="Q717" s="4"/>
      <c r="R717" s="4" t="str">
        <f t="shared" si="48"/>
        <v>2019</v>
      </c>
      <c r="S717" s="4" t="str">
        <f t="shared" si="49"/>
        <v>August</v>
      </c>
      <c r="T717" s="4">
        <f t="shared" si="50"/>
        <v>14418.04</v>
      </c>
      <c r="U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row>
    <row r="718" spans="1:53" ht="19.95" customHeight="1">
      <c r="A718" s="4">
        <v>717</v>
      </c>
      <c r="B718" s="4" t="s">
        <v>2178</v>
      </c>
      <c r="C718" s="4" t="s">
        <v>65</v>
      </c>
      <c r="D718" s="4"/>
      <c r="E718" s="4" t="s">
        <v>1434</v>
      </c>
      <c r="F718" s="4" t="s">
        <v>116</v>
      </c>
      <c r="G718" s="4" t="s">
        <v>24</v>
      </c>
      <c r="H718" s="4" t="s">
        <v>117</v>
      </c>
      <c r="I718" s="4" t="s">
        <v>2179</v>
      </c>
      <c r="J718" s="4" t="s">
        <v>2180</v>
      </c>
      <c r="K718" s="5">
        <v>43633</v>
      </c>
      <c r="L718" s="5">
        <v>43788</v>
      </c>
      <c r="M718" s="5">
        <v>43806</v>
      </c>
      <c r="N718" s="6">
        <f t="shared" si="47"/>
        <v>18</v>
      </c>
      <c r="O718" s="4" t="s">
        <v>28</v>
      </c>
      <c r="P718" s="4">
        <v>13229.17</v>
      </c>
      <c r="Q718" s="4"/>
      <c r="R718" s="4" t="str">
        <f t="shared" si="48"/>
        <v>2019</v>
      </c>
      <c r="S718" s="4" t="str">
        <f t="shared" si="49"/>
        <v>November</v>
      </c>
      <c r="T718" s="4">
        <f t="shared" si="50"/>
        <v>13229.17</v>
      </c>
      <c r="U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row>
    <row r="719" spans="1:53" ht="19.95" customHeight="1">
      <c r="A719" s="4">
        <v>718</v>
      </c>
      <c r="B719" s="4" t="s">
        <v>2181</v>
      </c>
      <c r="C719" s="4" t="s">
        <v>65</v>
      </c>
      <c r="D719" s="4"/>
      <c r="E719" s="4" t="s">
        <v>1357</v>
      </c>
      <c r="F719" s="4" t="s">
        <v>589</v>
      </c>
      <c r="G719" s="4" t="s">
        <v>24</v>
      </c>
      <c r="H719" s="4" t="s">
        <v>346</v>
      </c>
      <c r="I719" s="4" t="s">
        <v>2182</v>
      </c>
      <c r="J719" s="4" t="s">
        <v>2183</v>
      </c>
      <c r="K719" s="5">
        <v>43632</v>
      </c>
      <c r="L719" s="5">
        <v>43723</v>
      </c>
      <c r="M719" s="5">
        <v>43735</v>
      </c>
      <c r="N719" s="6">
        <f t="shared" si="47"/>
        <v>12</v>
      </c>
      <c r="O719" s="4" t="s">
        <v>28</v>
      </c>
      <c r="P719" s="4">
        <v>4198.6499999999996</v>
      </c>
      <c r="Q719" s="4"/>
      <c r="R719" s="4" t="str">
        <f t="shared" si="48"/>
        <v>2019</v>
      </c>
      <c r="S719" s="4" t="str">
        <f t="shared" si="49"/>
        <v>September</v>
      </c>
      <c r="T719" s="4">
        <f t="shared" si="50"/>
        <v>4198.6499999999996</v>
      </c>
      <c r="U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row>
    <row r="720" spans="1:53" ht="19.95" customHeight="1">
      <c r="A720" s="4">
        <v>719</v>
      </c>
      <c r="B720" s="4" t="s">
        <v>2184</v>
      </c>
      <c r="C720" s="4" t="s">
        <v>65</v>
      </c>
      <c r="D720" s="4"/>
      <c r="E720" s="4" t="s">
        <v>983</v>
      </c>
      <c r="F720" s="4" t="s">
        <v>43</v>
      </c>
      <c r="G720" s="4" t="s">
        <v>24</v>
      </c>
      <c r="H720" s="4" t="s">
        <v>44</v>
      </c>
      <c r="I720" s="4" t="s">
        <v>2185</v>
      </c>
      <c r="J720" s="4"/>
      <c r="K720" s="5">
        <v>43629</v>
      </c>
      <c r="L720" s="5">
        <v>43818</v>
      </c>
      <c r="M720" s="5">
        <v>43833</v>
      </c>
      <c r="N720" s="6">
        <f t="shared" si="47"/>
        <v>15</v>
      </c>
      <c r="O720" s="4" t="s">
        <v>28</v>
      </c>
      <c r="P720" s="4">
        <v>18720</v>
      </c>
      <c r="Q720" s="4"/>
      <c r="R720" s="4" t="str">
        <f t="shared" si="48"/>
        <v>2019</v>
      </c>
      <c r="S720" s="4" t="str">
        <f t="shared" si="49"/>
        <v>December</v>
      </c>
      <c r="T720" s="4">
        <f t="shared" si="50"/>
        <v>18720</v>
      </c>
      <c r="U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row>
    <row r="721" spans="1:53" ht="19.95" customHeight="1">
      <c r="A721" s="4">
        <v>720</v>
      </c>
      <c r="B721" s="4" t="s">
        <v>2186</v>
      </c>
      <c r="C721" s="4" t="s">
        <v>20</v>
      </c>
      <c r="D721" s="4"/>
      <c r="E721" s="4" t="s">
        <v>614</v>
      </c>
      <c r="F721" s="4" t="s">
        <v>23</v>
      </c>
      <c r="G721" s="4" t="s">
        <v>24</v>
      </c>
      <c r="H721" s="4" t="s">
        <v>25</v>
      </c>
      <c r="I721" s="4" t="s">
        <v>1063</v>
      </c>
      <c r="J721" s="4" t="s">
        <v>2187</v>
      </c>
      <c r="K721" s="5">
        <v>43629</v>
      </c>
      <c r="L721" s="5">
        <v>43854</v>
      </c>
      <c r="M721" s="5">
        <v>43863</v>
      </c>
      <c r="N721" s="6">
        <f t="shared" si="47"/>
        <v>9</v>
      </c>
      <c r="O721" s="4" t="s">
        <v>28</v>
      </c>
      <c r="P721" s="4">
        <v>6880.01</v>
      </c>
      <c r="Q721" s="4"/>
      <c r="R721" s="4" t="str">
        <f t="shared" si="48"/>
        <v>2020</v>
      </c>
      <c r="S721" s="4" t="str">
        <f t="shared" si="49"/>
        <v>January</v>
      </c>
      <c r="T721" s="4">
        <f t="shared" si="50"/>
        <v>6880.01</v>
      </c>
      <c r="U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row>
    <row r="722" spans="1:53" ht="19.95" customHeight="1">
      <c r="A722" s="4">
        <v>721</v>
      </c>
      <c r="B722" s="4" t="s">
        <v>2188</v>
      </c>
      <c r="C722" s="4" t="s">
        <v>65</v>
      </c>
      <c r="D722" s="4"/>
      <c r="E722" s="4" t="s">
        <v>2139</v>
      </c>
      <c r="F722" s="4" t="s">
        <v>589</v>
      </c>
      <c r="G722" s="4" t="s">
        <v>24</v>
      </c>
      <c r="H722" s="4" t="s">
        <v>346</v>
      </c>
      <c r="I722" s="4" t="s">
        <v>2189</v>
      </c>
      <c r="J722" s="4" t="s">
        <v>2190</v>
      </c>
      <c r="K722" s="5">
        <v>43628</v>
      </c>
      <c r="L722" s="5">
        <v>43684</v>
      </c>
      <c r="M722" s="5">
        <v>43700</v>
      </c>
      <c r="N722" s="6">
        <f t="shared" si="47"/>
        <v>16</v>
      </c>
      <c r="O722" s="4" t="s">
        <v>28</v>
      </c>
      <c r="P722" s="4">
        <v>13549.18</v>
      </c>
      <c r="Q722" s="4"/>
      <c r="R722" s="4" t="str">
        <f t="shared" si="48"/>
        <v>2019</v>
      </c>
      <c r="S722" s="4" t="str">
        <f t="shared" si="49"/>
        <v>August</v>
      </c>
      <c r="T722" s="4">
        <f t="shared" si="50"/>
        <v>13549.18</v>
      </c>
      <c r="U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row>
    <row r="723" spans="1:53" ht="19.95" customHeight="1">
      <c r="A723" s="4">
        <v>722</v>
      </c>
      <c r="B723" s="4" t="s">
        <v>2191</v>
      </c>
      <c r="C723" s="4" t="s">
        <v>20</v>
      </c>
      <c r="D723" s="4"/>
      <c r="E723" s="4" t="s">
        <v>614</v>
      </c>
      <c r="F723" s="4" t="s">
        <v>2192</v>
      </c>
      <c r="G723" s="4" t="s">
        <v>24</v>
      </c>
      <c r="H723" s="4" t="s">
        <v>25</v>
      </c>
      <c r="I723" s="4" t="s">
        <v>2193</v>
      </c>
      <c r="J723" s="4"/>
      <c r="K723" s="5">
        <v>43628</v>
      </c>
      <c r="L723" s="5">
        <v>43686</v>
      </c>
      <c r="M723" s="5">
        <v>43698</v>
      </c>
      <c r="N723" s="6">
        <f t="shared" si="47"/>
        <v>12</v>
      </c>
      <c r="O723" s="4" t="s">
        <v>28</v>
      </c>
      <c r="P723" s="4">
        <v>9329.9</v>
      </c>
      <c r="Q723" s="4"/>
      <c r="R723" s="4" t="str">
        <f t="shared" si="48"/>
        <v>2019</v>
      </c>
      <c r="S723" s="4" t="str">
        <f t="shared" si="49"/>
        <v>August</v>
      </c>
      <c r="T723" s="4">
        <f t="shared" si="50"/>
        <v>9329.9</v>
      </c>
      <c r="U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row>
    <row r="724" spans="1:53" ht="19.95" customHeight="1">
      <c r="A724" s="4">
        <v>723</v>
      </c>
      <c r="B724" s="4" t="s">
        <v>2194</v>
      </c>
      <c r="C724" s="4" t="s">
        <v>20</v>
      </c>
      <c r="D724" s="4"/>
      <c r="E724" s="4" t="s">
        <v>614</v>
      </c>
      <c r="F724" s="4" t="s">
        <v>23</v>
      </c>
      <c r="G724" s="4" t="s">
        <v>24</v>
      </c>
      <c r="H724" s="4" t="s">
        <v>25</v>
      </c>
      <c r="I724" s="4" t="s">
        <v>2195</v>
      </c>
      <c r="J724" s="4"/>
      <c r="K724" s="5">
        <v>43627</v>
      </c>
      <c r="L724" s="5">
        <v>43727</v>
      </c>
      <c r="M724" s="5">
        <v>43734</v>
      </c>
      <c r="N724" s="6">
        <f t="shared" si="47"/>
        <v>7</v>
      </c>
      <c r="O724" s="4" t="s">
        <v>28</v>
      </c>
      <c r="P724" s="4">
        <v>3871</v>
      </c>
      <c r="Q724" s="4"/>
      <c r="R724" s="4" t="str">
        <f t="shared" si="48"/>
        <v>2019</v>
      </c>
      <c r="S724" s="4" t="str">
        <f t="shared" si="49"/>
        <v>September</v>
      </c>
      <c r="T724" s="4">
        <f t="shared" si="50"/>
        <v>3871</v>
      </c>
      <c r="U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row>
    <row r="725" spans="1:53" ht="19.95" customHeight="1">
      <c r="A725" s="4">
        <v>724</v>
      </c>
      <c r="B725" s="4" t="s">
        <v>2196</v>
      </c>
      <c r="C725" s="4" t="s">
        <v>20</v>
      </c>
      <c r="D725" s="4"/>
      <c r="E725" s="4" t="s">
        <v>2197</v>
      </c>
      <c r="F725" s="4" t="s">
        <v>23</v>
      </c>
      <c r="G725" s="4" t="s">
        <v>24</v>
      </c>
      <c r="H725" s="4" t="s">
        <v>25</v>
      </c>
      <c r="I725" s="4" t="s">
        <v>2198</v>
      </c>
      <c r="J725" s="4" t="s">
        <v>2199</v>
      </c>
      <c r="K725" s="5">
        <v>43627</v>
      </c>
      <c r="L725" s="5">
        <v>43733</v>
      </c>
      <c r="M725" s="5">
        <v>43740</v>
      </c>
      <c r="N725" s="6">
        <f t="shared" si="47"/>
        <v>7</v>
      </c>
      <c r="O725" s="4" t="s">
        <v>28</v>
      </c>
      <c r="P725" s="4">
        <v>4792</v>
      </c>
      <c r="Q725" s="4"/>
      <c r="R725" s="4" t="str">
        <f t="shared" si="48"/>
        <v>2019</v>
      </c>
      <c r="S725" s="4" t="str">
        <f t="shared" si="49"/>
        <v>September</v>
      </c>
      <c r="T725" s="4">
        <f t="shared" si="50"/>
        <v>4792</v>
      </c>
      <c r="U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row>
    <row r="726" spans="1:53" ht="19.95" customHeight="1">
      <c r="A726" s="4">
        <v>725</v>
      </c>
      <c r="B726" s="4" t="s">
        <v>2200</v>
      </c>
      <c r="C726" s="4" t="s">
        <v>20</v>
      </c>
      <c r="D726" s="4"/>
      <c r="E726" s="4" t="s">
        <v>2197</v>
      </c>
      <c r="F726" s="4" t="s">
        <v>593</v>
      </c>
      <c r="G726" s="4" t="s">
        <v>24</v>
      </c>
      <c r="H726" s="4" t="s">
        <v>594</v>
      </c>
      <c r="I726" s="4" t="s">
        <v>2201</v>
      </c>
      <c r="J726" s="4" t="s">
        <v>2202</v>
      </c>
      <c r="K726" s="5">
        <v>43627</v>
      </c>
      <c r="L726" s="5">
        <v>43690</v>
      </c>
      <c r="M726" s="5">
        <v>43695</v>
      </c>
      <c r="N726" s="6">
        <f t="shared" si="47"/>
        <v>5</v>
      </c>
      <c r="O726" s="4" t="s">
        <v>28</v>
      </c>
      <c r="P726" s="4">
        <v>2113</v>
      </c>
      <c r="Q726" s="4"/>
      <c r="R726" s="4" t="str">
        <f t="shared" si="48"/>
        <v>2019</v>
      </c>
      <c r="S726" s="4" t="str">
        <f t="shared" si="49"/>
        <v>August</v>
      </c>
      <c r="T726" s="4">
        <f t="shared" si="50"/>
        <v>2113</v>
      </c>
      <c r="U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row>
    <row r="727" spans="1:53" ht="19.95" customHeight="1">
      <c r="A727" s="4">
        <v>726</v>
      </c>
      <c r="B727" s="4" t="s">
        <v>2203</v>
      </c>
      <c r="C727" s="4" t="s">
        <v>20</v>
      </c>
      <c r="D727" s="4"/>
      <c r="E727" s="4" t="s">
        <v>1567</v>
      </c>
      <c r="F727" s="4" t="s">
        <v>23</v>
      </c>
      <c r="G727" s="4" t="s">
        <v>24</v>
      </c>
      <c r="H727" s="4" t="s">
        <v>25</v>
      </c>
      <c r="I727" s="4" t="s">
        <v>2204</v>
      </c>
      <c r="J727" s="4" t="s">
        <v>2205</v>
      </c>
      <c r="K727" s="5">
        <v>43627</v>
      </c>
      <c r="L727" s="5">
        <v>43819</v>
      </c>
      <c r="M727" s="5">
        <v>43831</v>
      </c>
      <c r="N727" s="6">
        <f t="shared" si="47"/>
        <v>12</v>
      </c>
      <c r="O727" s="4" t="s">
        <v>28</v>
      </c>
      <c r="P727" s="4">
        <v>16216</v>
      </c>
      <c r="Q727" s="4"/>
      <c r="R727" s="4" t="str">
        <f t="shared" si="48"/>
        <v>2019</v>
      </c>
      <c r="S727" s="4" t="str">
        <f t="shared" si="49"/>
        <v>December</v>
      </c>
      <c r="T727" s="4">
        <f t="shared" si="50"/>
        <v>16216</v>
      </c>
      <c r="U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row>
    <row r="728" spans="1:53" ht="19.95" customHeight="1">
      <c r="A728" s="4">
        <v>727</v>
      </c>
      <c r="B728" s="4" t="s">
        <v>2206</v>
      </c>
      <c r="C728" s="4" t="s">
        <v>20</v>
      </c>
      <c r="D728" s="4"/>
      <c r="E728" s="4" t="s">
        <v>1814</v>
      </c>
      <c r="F728" s="4" t="s">
        <v>23</v>
      </c>
      <c r="G728" s="4" t="s">
        <v>24</v>
      </c>
      <c r="H728" s="4" t="s">
        <v>25</v>
      </c>
      <c r="I728" s="4" t="s">
        <v>2207</v>
      </c>
      <c r="J728" s="4" t="s">
        <v>2208</v>
      </c>
      <c r="K728" s="5">
        <v>43627</v>
      </c>
      <c r="L728" s="5">
        <v>43678</v>
      </c>
      <c r="M728" s="5">
        <v>43696</v>
      </c>
      <c r="N728" s="6">
        <f t="shared" si="47"/>
        <v>18</v>
      </c>
      <c r="O728" s="4" t="s">
        <v>28</v>
      </c>
      <c r="P728" s="4">
        <v>6918.47</v>
      </c>
      <c r="Q728" s="4"/>
      <c r="R728" s="4" t="str">
        <f t="shared" si="48"/>
        <v>2019</v>
      </c>
      <c r="S728" s="4" t="str">
        <f t="shared" si="49"/>
        <v>August</v>
      </c>
      <c r="T728" s="4">
        <f t="shared" si="50"/>
        <v>6918.47</v>
      </c>
      <c r="U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row>
    <row r="729" spans="1:53" ht="19.95" customHeight="1">
      <c r="A729" s="4">
        <v>728</v>
      </c>
      <c r="B729" s="4" t="s">
        <v>2209</v>
      </c>
      <c r="C729" s="4" t="s">
        <v>20</v>
      </c>
      <c r="D729" s="4"/>
      <c r="E729" s="4" t="s">
        <v>1523</v>
      </c>
      <c r="F729" s="4" t="s">
        <v>23</v>
      </c>
      <c r="G729" s="4" t="s">
        <v>24</v>
      </c>
      <c r="H729" s="4" t="s">
        <v>25</v>
      </c>
      <c r="I729" s="4" t="s">
        <v>2210</v>
      </c>
      <c r="J729" s="4" t="s">
        <v>2211</v>
      </c>
      <c r="K729" s="5">
        <v>43627</v>
      </c>
      <c r="L729" s="5">
        <v>43647</v>
      </c>
      <c r="M729" s="5">
        <v>43660</v>
      </c>
      <c r="N729" s="6">
        <f t="shared" si="47"/>
        <v>13</v>
      </c>
      <c r="O729" s="4" t="s">
        <v>28</v>
      </c>
      <c r="P729" s="4">
        <v>1035</v>
      </c>
      <c r="Q729" s="4"/>
      <c r="R729" s="4" t="str">
        <f t="shared" si="48"/>
        <v>2019</v>
      </c>
      <c r="S729" s="4" t="str">
        <f t="shared" si="49"/>
        <v>July</v>
      </c>
      <c r="T729" s="4">
        <f t="shared" si="50"/>
        <v>1035</v>
      </c>
      <c r="U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row>
    <row r="730" spans="1:53" ht="19.95" customHeight="1">
      <c r="A730" s="4">
        <v>729</v>
      </c>
      <c r="B730" s="4" t="s">
        <v>2212</v>
      </c>
      <c r="C730" s="4" t="s">
        <v>20</v>
      </c>
      <c r="D730" s="4"/>
      <c r="E730" s="4" t="s">
        <v>1567</v>
      </c>
      <c r="F730" s="4" t="s">
        <v>23</v>
      </c>
      <c r="G730" s="4" t="s">
        <v>24</v>
      </c>
      <c r="H730" s="4" t="s">
        <v>25</v>
      </c>
      <c r="I730" s="4" t="s">
        <v>2213</v>
      </c>
      <c r="J730" s="4" t="s">
        <v>2214</v>
      </c>
      <c r="K730" s="5">
        <v>43627</v>
      </c>
      <c r="L730" s="5">
        <v>43663</v>
      </c>
      <c r="M730" s="5">
        <v>43677</v>
      </c>
      <c r="N730" s="6">
        <f t="shared" si="47"/>
        <v>14</v>
      </c>
      <c r="O730" s="4" t="s">
        <v>28</v>
      </c>
      <c r="P730" s="4">
        <v>5203</v>
      </c>
      <c r="Q730" s="4"/>
      <c r="R730" s="4" t="str">
        <f t="shared" si="48"/>
        <v>2019</v>
      </c>
      <c r="S730" s="4" t="str">
        <f t="shared" si="49"/>
        <v>July</v>
      </c>
      <c r="T730" s="4">
        <f t="shared" si="50"/>
        <v>5203</v>
      </c>
      <c r="U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row>
    <row r="731" spans="1:53" ht="19.95" customHeight="1">
      <c r="A731" s="4">
        <v>730</v>
      </c>
      <c r="B731" s="4" t="s">
        <v>2215</v>
      </c>
      <c r="C731" s="4" t="s">
        <v>65</v>
      </c>
      <c r="D731" s="4"/>
      <c r="E731" s="4" t="s">
        <v>1357</v>
      </c>
      <c r="F731" s="4" t="s">
        <v>589</v>
      </c>
      <c r="G731" s="4" t="s">
        <v>24</v>
      </c>
      <c r="H731" s="4" t="s">
        <v>346</v>
      </c>
      <c r="I731" s="4" t="s">
        <v>2216</v>
      </c>
      <c r="J731" s="4" t="s">
        <v>2217</v>
      </c>
      <c r="K731" s="5">
        <v>43626</v>
      </c>
      <c r="L731" s="5">
        <v>43649</v>
      </c>
      <c r="M731" s="5">
        <v>43654</v>
      </c>
      <c r="N731" s="6">
        <f t="shared" si="47"/>
        <v>5</v>
      </c>
      <c r="O731" s="4" t="s">
        <v>28</v>
      </c>
      <c r="P731" s="4">
        <v>1390.75</v>
      </c>
      <c r="Q731" s="4"/>
      <c r="R731" s="4" t="str">
        <f t="shared" si="48"/>
        <v>2019</v>
      </c>
      <c r="S731" s="4" t="str">
        <f t="shared" si="49"/>
        <v>July</v>
      </c>
      <c r="T731" s="4">
        <f t="shared" si="50"/>
        <v>1390.75</v>
      </c>
      <c r="U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row>
    <row r="732" spans="1:53" ht="19.95" customHeight="1">
      <c r="A732" s="4">
        <v>731</v>
      </c>
      <c r="B732" s="4" t="s">
        <v>2218</v>
      </c>
      <c r="C732" s="4" t="s">
        <v>65</v>
      </c>
      <c r="D732" s="4"/>
      <c r="E732" s="4" t="s">
        <v>2143</v>
      </c>
      <c r="F732" s="4" t="s">
        <v>589</v>
      </c>
      <c r="G732" s="4" t="s">
        <v>24</v>
      </c>
      <c r="H732" s="4" t="s">
        <v>346</v>
      </c>
      <c r="I732" s="4" t="s">
        <v>2219</v>
      </c>
      <c r="J732" s="4" t="s">
        <v>2220</v>
      </c>
      <c r="K732" s="5">
        <v>43626</v>
      </c>
      <c r="L732" s="5">
        <v>43650</v>
      </c>
      <c r="M732" s="5">
        <v>43663</v>
      </c>
      <c r="N732" s="6">
        <f t="shared" ref="N732:N795" si="51">M732-L732</f>
        <v>13</v>
      </c>
      <c r="O732" s="4" t="s">
        <v>28</v>
      </c>
      <c r="P732" s="4">
        <v>5509.28</v>
      </c>
      <c r="Q732" s="4"/>
      <c r="R732" s="4" t="str">
        <f t="shared" si="48"/>
        <v>2019</v>
      </c>
      <c r="S732" s="4" t="str">
        <f t="shared" si="49"/>
        <v>July</v>
      </c>
      <c r="T732" s="4">
        <f t="shared" si="50"/>
        <v>5509.28</v>
      </c>
      <c r="U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row>
    <row r="733" spans="1:53" ht="19.95" customHeight="1">
      <c r="A733" s="4">
        <v>732</v>
      </c>
      <c r="B733" s="4" t="s">
        <v>2221</v>
      </c>
      <c r="C733" s="4" t="s">
        <v>20</v>
      </c>
      <c r="D733" s="4"/>
      <c r="E733" s="4" t="s">
        <v>614</v>
      </c>
      <c r="F733" s="4" t="s">
        <v>23</v>
      </c>
      <c r="G733" s="4" t="s">
        <v>24</v>
      </c>
      <c r="H733" s="4" t="s">
        <v>25</v>
      </c>
      <c r="I733" s="4" t="s">
        <v>2222</v>
      </c>
      <c r="J733" s="4" t="s">
        <v>2223</v>
      </c>
      <c r="K733" s="5">
        <v>43626</v>
      </c>
      <c r="L733" s="5">
        <v>43665</v>
      </c>
      <c r="M733" s="5">
        <v>43680</v>
      </c>
      <c r="N733" s="6">
        <f t="shared" si="51"/>
        <v>15</v>
      </c>
      <c r="O733" s="4" t="s">
        <v>28</v>
      </c>
      <c r="P733" s="4">
        <v>7463.5</v>
      </c>
      <c r="Q733" s="4"/>
      <c r="R733" s="4" t="str">
        <f t="shared" si="48"/>
        <v>2019</v>
      </c>
      <c r="S733" s="4" t="str">
        <f t="shared" si="49"/>
        <v>July</v>
      </c>
      <c r="T733" s="4">
        <f t="shared" si="50"/>
        <v>7463.5</v>
      </c>
      <c r="U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row>
    <row r="734" spans="1:53" ht="19.95" customHeight="1">
      <c r="A734" s="4">
        <v>733</v>
      </c>
      <c r="B734" s="4" t="s">
        <v>2224</v>
      </c>
      <c r="C734" s="4" t="s">
        <v>20</v>
      </c>
      <c r="D734" s="4"/>
      <c r="E734" s="4" t="s">
        <v>614</v>
      </c>
      <c r="F734" s="4" t="s">
        <v>23</v>
      </c>
      <c r="G734" s="4" t="s">
        <v>24</v>
      </c>
      <c r="H734" s="4" t="s">
        <v>25</v>
      </c>
      <c r="I734" s="4" t="s">
        <v>2225</v>
      </c>
      <c r="J734" s="4" t="s">
        <v>2226</v>
      </c>
      <c r="K734" s="5">
        <v>43622</v>
      </c>
      <c r="L734" s="5">
        <v>43631</v>
      </c>
      <c r="M734" s="5">
        <v>43698</v>
      </c>
      <c r="N734" s="6">
        <f t="shared" si="51"/>
        <v>67</v>
      </c>
      <c r="O734" s="4" t="s">
        <v>28</v>
      </c>
      <c r="P734" s="4">
        <v>16175.4</v>
      </c>
      <c r="Q734" s="4"/>
      <c r="R734" s="4" t="str">
        <f t="shared" si="48"/>
        <v>2019</v>
      </c>
      <c r="S734" s="4" t="str">
        <f t="shared" si="49"/>
        <v>June</v>
      </c>
      <c r="T734" s="4">
        <f t="shared" si="50"/>
        <v>16175.4</v>
      </c>
      <c r="U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row>
    <row r="735" spans="1:53" ht="19.95" customHeight="1">
      <c r="A735" s="4">
        <v>734</v>
      </c>
      <c r="B735" s="4" t="s">
        <v>2227</v>
      </c>
      <c r="C735" s="4" t="s">
        <v>20</v>
      </c>
      <c r="D735" s="4"/>
      <c r="E735" s="4" t="s">
        <v>1523</v>
      </c>
      <c r="F735" s="4" t="s">
        <v>904</v>
      </c>
      <c r="G735" s="4" t="s">
        <v>24</v>
      </c>
      <c r="H735" s="4" t="s">
        <v>905</v>
      </c>
      <c r="I735" s="4" t="s">
        <v>2228</v>
      </c>
      <c r="J735" s="4" t="s">
        <v>2229</v>
      </c>
      <c r="K735" s="5">
        <v>43622</v>
      </c>
      <c r="L735" s="5">
        <v>43821</v>
      </c>
      <c r="M735" s="5">
        <v>43821</v>
      </c>
      <c r="N735" s="6">
        <f t="shared" si="51"/>
        <v>0</v>
      </c>
      <c r="O735" s="4" t="s">
        <v>28</v>
      </c>
      <c r="P735" s="4">
        <v>1912.5</v>
      </c>
      <c r="Q735" s="4"/>
      <c r="R735" s="4" t="str">
        <f t="shared" si="48"/>
        <v>2019</v>
      </c>
      <c r="S735" s="4" t="str">
        <f t="shared" si="49"/>
        <v>December</v>
      </c>
      <c r="T735" s="4">
        <f t="shared" si="50"/>
        <v>1912.5</v>
      </c>
      <c r="U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row>
    <row r="736" spans="1:53" ht="19.95" customHeight="1">
      <c r="A736" s="4">
        <v>735</v>
      </c>
      <c r="B736" s="4" t="s">
        <v>2230</v>
      </c>
      <c r="C736" s="4" t="s">
        <v>20</v>
      </c>
      <c r="D736" s="4"/>
      <c r="E736" s="4" t="s">
        <v>1523</v>
      </c>
      <c r="F736" s="4" t="s">
        <v>2231</v>
      </c>
      <c r="G736" s="4" t="s">
        <v>24</v>
      </c>
      <c r="H736" s="4" t="s">
        <v>219</v>
      </c>
      <c r="I736" s="4" t="s">
        <v>2232</v>
      </c>
      <c r="J736" s="4" t="s">
        <v>2233</v>
      </c>
      <c r="K736" s="5">
        <v>43622</v>
      </c>
      <c r="L736" s="5">
        <v>43688</v>
      </c>
      <c r="M736" s="5">
        <v>43688</v>
      </c>
      <c r="N736" s="6">
        <f t="shared" si="51"/>
        <v>0</v>
      </c>
      <c r="O736" s="4" t="s">
        <v>28</v>
      </c>
      <c r="P736" s="4">
        <v>372</v>
      </c>
      <c r="Q736" s="4"/>
      <c r="R736" s="4" t="str">
        <f t="shared" si="48"/>
        <v>2019</v>
      </c>
      <c r="S736" s="4" t="str">
        <f t="shared" si="49"/>
        <v>August</v>
      </c>
      <c r="T736" s="4">
        <f t="shared" si="50"/>
        <v>372</v>
      </c>
      <c r="U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row>
    <row r="737" spans="1:53" ht="19.95" customHeight="1">
      <c r="A737" s="4">
        <v>736</v>
      </c>
      <c r="B737" s="4" t="s">
        <v>2234</v>
      </c>
      <c r="C737" s="4" t="s">
        <v>20</v>
      </c>
      <c r="D737" s="4"/>
      <c r="E737" s="4" t="s">
        <v>1523</v>
      </c>
      <c r="F737" s="4" t="s">
        <v>48</v>
      </c>
      <c r="G737" s="4" t="s">
        <v>24</v>
      </c>
      <c r="H737" s="4" t="s">
        <v>49</v>
      </c>
      <c r="I737" s="4" t="s">
        <v>2235</v>
      </c>
      <c r="J737" s="4" t="s">
        <v>2236</v>
      </c>
      <c r="K737" s="5">
        <v>43622</v>
      </c>
      <c r="L737" s="5">
        <v>43684</v>
      </c>
      <c r="M737" s="5">
        <v>43684</v>
      </c>
      <c r="N737" s="6">
        <f t="shared" si="51"/>
        <v>0</v>
      </c>
      <c r="O737" s="4" t="s">
        <v>28</v>
      </c>
      <c r="P737" s="4">
        <v>1172</v>
      </c>
      <c r="Q737" s="4"/>
      <c r="R737" s="4" t="str">
        <f t="shared" si="48"/>
        <v>2019</v>
      </c>
      <c r="S737" s="4" t="str">
        <f t="shared" si="49"/>
        <v>August</v>
      </c>
      <c r="T737" s="4">
        <f t="shared" si="50"/>
        <v>1172</v>
      </c>
      <c r="U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row>
    <row r="738" spans="1:53" ht="19.95" customHeight="1">
      <c r="A738" s="4">
        <v>737</v>
      </c>
      <c r="B738" s="4" t="s">
        <v>2237</v>
      </c>
      <c r="C738" s="4" t="s">
        <v>65</v>
      </c>
      <c r="D738" s="4"/>
      <c r="E738" s="4" t="s">
        <v>2238</v>
      </c>
      <c r="F738" s="4" t="s">
        <v>48</v>
      </c>
      <c r="G738" s="4" t="s">
        <v>24</v>
      </c>
      <c r="H738" s="4" t="s">
        <v>49</v>
      </c>
      <c r="I738" s="4" t="s">
        <v>2239</v>
      </c>
      <c r="J738" s="4" t="s">
        <v>2240</v>
      </c>
      <c r="K738" s="5">
        <v>43621</v>
      </c>
      <c r="L738" s="5">
        <v>43735</v>
      </c>
      <c r="M738" s="5">
        <v>43744</v>
      </c>
      <c r="N738" s="6">
        <f t="shared" si="51"/>
        <v>9</v>
      </c>
      <c r="O738" s="4" t="s">
        <v>28</v>
      </c>
      <c r="P738" s="4">
        <v>2680</v>
      </c>
      <c r="Q738" s="4"/>
      <c r="R738" s="4" t="str">
        <f t="shared" si="48"/>
        <v>2019</v>
      </c>
      <c r="S738" s="4" t="str">
        <f t="shared" si="49"/>
        <v>September</v>
      </c>
      <c r="T738" s="4">
        <f t="shared" si="50"/>
        <v>2680</v>
      </c>
      <c r="U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row>
    <row r="739" spans="1:53" ht="19.95" customHeight="1">
      <c r="A739" s="4">
        <v>738</v>
      </c>
      <c r="B739" s="4" t="s">
        <v>2241</v>
      </c>
      <c r="C739" s="4" t="s">
        <v>20</v>
      </c>
      <c r="D739" s="4"/>
      <c r="E739" s="4" t="s">
        <v>2197</v>
      </c>
      <c r="F739" s="4" t="s">
        <v>23</v>
      </c>
      <c r="G739" s="4" t="s">
        <v>24</v>
      </c>
      <c r="H739" s="4" t="s">
        <v>25</v>
      </c>
      <c r="I739" s="4" t="s">
        <v>2242</v>
      </c>
      <c r="J739" s="4" t="s">
        <v>2243</v>
      </c>
      <c r="K739" s="5">
        <v>43621</v>
      </c>
      <c r="L739" s="5">
        <v>43683</v>
      </c>
      <c r="M739" s="5">
        <v>43692</v>
      </c>
      <c r="N739" s="6">
        <f t="shared" si="51"/>
        <v>9</v>
      </c>
      <c r="O739" s="4" t="s">
        <v>28</v>
      </c>
      <c r="P739" s="4">
        <v>3634</v>
      </c>
      <c r="Q739" s="4"/>
      <c r="R739" s="4" t="str">
        <f t="shared" si="48"/>
        <v>2019</v>
      </c>
      <c r="S739" s="4" t="str">
        <f t="shared" si="49"/>
        <v>August</v>
      </c>
      <c r="T739" s="4">
        <f t="shared" si="50"/>
        <v>3634</v>
      </c>
      <c r="U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row>
    <row r="740" spans="1:53" ht="19.95" customHeight="1">
      <c r="A740" s="4">
        <v>739</v>
      </c>
      <c r="B740" s="4" t="s">
        <v>2244</v>
      </c>
      <c r="C740" s="4" t="s">
        <v>20</v>
      </c>
      <c r="D740" s="4"/>
      <c r="E740" s="4" t="s">
        <v>2245</v>
      </c>
      <c r="F740" s="4" t="s">
        <v>23</v>
      </c>
      <c r="G740" s="4" t="s">
        <v>24</v>
      </c>
      <c r="H740" s="4" t="s">
        <v>25</v>
      </c>
      <c r="I740" s="4" t="s">
        <v>2246</v>
      </c>
      <c r="J740" s="4" t="s">
        <v>2247</v>
      </c>
      <c r="K740" s="5">
        <v>43621</v>
      </c>
      <c r="L740" s="5">
        <v>43688</v>
      </c>
      <c r="M740" s="5">
        <v>43702</v>
      </c>
      <c r="N740" s="6">
        <f t="shared" si="51"/>
        <v>14</v>
      </c>
      <c r="O740" s="4" t="s">
        <v>28</v>
      </c>
      <c r="P740" s="4">
        <v>6331.25</v>
      </c>
      <c r="Q740" s="4"/>
      <c r="R740" s="4" t="str">
        <f t="shared" si="48"/>
        <v>2019</v>
      </c>
      <c r="S740" s="4" t="str">
        <f t="shared" si="49"/>
        <v>August</v>
      </c>
      <c r="T740" s="4">
        <f t="shared" si="50"/>
        <v>6331.25</v>
      </c>
      <c r="U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row>
    <row r="741" spans="1:53" ht="19.95" customHeight="1">
      <c r="A741" s="4">
        <v>740</v>
      </c>
      <c r="B741" s="4" t="s">
        <v>2248</v>
      </c>
      <c r="C741" s="4" t="s">
        <v>20</v>
      </c>
      <c r="D741" s="4"/>
      <c r="E741" s="4" t="s">
        <v>1523</v>
      </c>
      <c r="F741" s="4" t="s">
        <v>43</v>
      </c>
      <c r="G741" s="4" t="s">
        <v>24</v>
      </c>
      <c r="H741" s="4" t="s">
        <v>44</v>
      </c>
      <c r="I741" s="4" t="s">
        <v>2053</v>
      </c>
      <c r="J741" s="4" t="s">
        <v>2054</v>
      </c>
      <c r="K741" s="5">
        <v>43620</v>
      </c>
      <c r="L741" s="5">
        <v>43624</v>
      </c>
      <c r="M741" s="5">
        <v>43624</v>
      </c>
      <c r="N741" s="6">
        <f t="shared" si="51"/>
        <v>0</v>
      </c>
      <c r="O741" s="4" t="s">
        <v>28</v>
      </c>
      <c r="P741" s="4">
        <v>495</v>
      </c>
      <c r="Q741" s="4"/>
      <c r="R741" s="4" t="str">
        <f t="shared" si="48"/>
        <v>2019</v>
      </c>
      <c r="S741" s="4" t="str">
        <f t="shared" si="49"/>
        <v>June</v>
      </c>
      <c r="T741" s="4">
        <f t="shared" si="50"/>
        <v>495</v>
      </c>
      <c r="U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row>
    <row r="742" spans="1:53" ht="19.95" customHeight="1">
      <c r="A742" s="4">
        <v>741</v>
      </c>
      <c r="B742" s="4" t="s">
        <v>2249</v>
      </c>
      <c r="C742" s="4" t="s">
        <v>20</v>
      </c>
      <c r="D742" s="4"/>
      <c r="E742" s="4" t="s">
        <v>614</v>
      </c>
      <c r="F742" s="4" t="s">
        <v>1790</v>
      </c>
      <c r="G742" s="4" t="s">
        <v>24</v>
      </c>
      <c r="H742" s="4" t="s">
        <v>1791</v>
      </c>
      <c r="I742" s="4" t="s">
        <v>2250</v>
      </c>
      <c r="J742" s="4" t="s">
        <v>2251</v>
      </c>
      <c r="K742" s="5">
        <v>43615</v>
      </c>
      <c r="L742" s="5">
        <v>43647</v>
      </c>
      <c r="M742" s="5">
        <v>43653</v>
      </c>
      <c r="N742" s="6">
        <f t="shared" si="51"/>
        <v>6</v>
      </c>
      <c r="O742" s="4" t="s">
        <v>334</v>
      </c>
      <c r="P742" s="4">
        <v>2096</v>
      </c>
      <c r="Q742" s="4"/>
      <c r="R742" s="4" t="str">
        <f t="shared" si="48"/>
        <v>2019</v>
      </c>
      <c r="S742" s="4" t="str">
        <f t="shared" si="49"/>
        <v>July</v>
      </c>
      <c r="T742" s="4">
        <f t="shared" si="50"/>
        <v>2096</v>
      </c>
      <c r="U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row>
    <row r="743" spans="1:53" ht="19.95" customHeight="1">
      <c r="A743" s="4">
        <v>742</v>
      </c>
      <c r="B743" s="4" t="s">
        <v>2252</v>
      </c>
      <c r="C743" s="4" t="s">
        <v>20</v>
      </c>
      <c r="D743" s="4"/>
      <c r="E743" s="4" t="s">
        <v>614</v>
      </c>
      <c r="F743" s="4" t="s">
        <v>23</v>
      </c>
      <c r="G743" s="4" t="s">
        <v>24</v>
      </c>
      <c r="H743" s="4" t="s">
        <v>25</v>
      </c>
      <c r="I743" s="4" t="s">
        <v>2253</v>
      </c>
      <c r="J743" s="4" t="s">
        <v>2254</v>
      </c>
      <c r="K743" s="5">
        <v>43615</v>
      </c>
      <c r="L743" s="5">
        <v>43652</v>
      </c>
      <c r="M743" s="5">
        <v>43665</v>
      </c>
      <c r="N743" s="6">
        <f t="shared" si="51"/>
        <v>13</v>
      </c>
      <c r="O743" s="4" t="s">
        <v>28</v>
      </c>
      <c r="P743" s="4">
        <v>2560</v>
      </c>
      <c r="Q743" s="4"/>
      <c r="R743" s="4" t="str">
        <f t="shared" si="48"/>
        <v>2019</v>
      </c>
      <c r="S743" s="4" t="str">
        <f t="shared" si="49"/>
        <v>July</v>
      </c>
      <c r="T743" s="4">
        <f t="shared" si="50"/>
        <v>2560</v>
      </c>
      <c r="U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row>
    <row r="744" spans="1:53" ht="19.95" customHeight="1">
      <c r="A744" s="4">
        <v>743</v>
      </c>
      <c r="B744" s="4" t="s">
        <v>2255</v>
      </c>
      <c r="C744" s="4" t="s">
        <v>20</v>
      </c>
      <c r="D744" s="4"/>
      <c r="E744" s="4" t="s">
        <v>614</v>
      </c>
      <c r="F744" s="4" t="s">
        <v>43</v>
      </c>
      <c r="G744" s="4" t="s">
        <v>24</v>
      </c>
      <c r="H744" s="4" t="s">
        <v>44</v>
      </c>
      <c r="I744" s="4" t="s">
        <v>2256</v>
      </c>
      <c r="J744" s="4" t="s">
        <v>2257</v>
      </c>
      <c r="K744" s="5">
        <v>43615</v>
      </c>
      <c r="L744" s="5">
        <v>43801</v>
      </c>
      <c r="M744" s="5">
        <v>43813</v>
      </c>
      <c r="N744" s="6">
        <f t="shared" si="51"/>
        <v>12</v>
      </c>
      <c r="O744" s="4" t="s">
        <v>28</v>
      </c>
      <c r="P744" s="4">
        <v>5172</v>
      </c>
      <c r="Q744" s="4"/>
      <c r="R744" s="4" t="str">
        <f t="shared" si="48"/>
        <v>2019</v>
      </c>
      <c r="S744" s="4" t="str">
        <f t="shared" si="49"/>
        <v>December</v>
      </c>
      <c r="T744" s="4">
        <f t="shared" si="50"/>
        <v>5172</v>
      </c>
      <c r="U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row>
    <row r="745" spans="1:53" ht="19.95" customHeight="1">
      <c r="A745" s="4">
        <v>744</v>
      </c>
      <c r="B745" s="4" t="s">
        <v>2258</v>
      </c>
      <c r="C745" s="4" t="s">
        <v>20</v>
      </c>
      <c r="D745" s="4"/>
      <c r="E745" s="4" t="s">
        <v>1124</v>
      </c>
      <c r="F745" s="4" t="s">
        <v>23</v>
      </c>
      <c r="G745" s="4" t="s">
        <v>24</v>
      </c>
      <c r="H745" s="4" t="s">
        <v>25</v>
      </c>
      <c r="I745" s="4" t="s">
        <v>2259</v>
      </c>
      <c r="J745" s="4" t="s">
        <v>2260</v>
      </c>
      <c r="K745" s="5">
        <v>43615</v>
      </c>
      <c r="L745" s="5">
        <v>43567</v>
      </c>
      <c r="M745" s="5">
        <v>43567</v>
      </c>
      <c r="N745" s="6">
        <f t="shared" si="51"/>
        <v>0</v>
      </c>
      <c r="O745" s="4" t="s">
        <v>334</v>
      </c>
      <c r="P745" s="4">
        <v>1590</v>
      </c>
      <c r="Q745" s="4"/>
      <c r="R745" s="4" t="str">
        <f t="shared" si="48"/>
        <v>2019</v>
      </c>
      <c r="S745" s="4" t="str">
        <f t="shared" si="49"/>
        <v>April</v>
      </c>
      <c r="T745" s="4">
        <f t="shared" si="50"/>
        <v>1590</v>
      </c>
      <c r="U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row>
    <row r="746" spans="1:53" ht="19.95" customHeight="1">
      <c r="A746" s="4">
        <v>745</v>
      </c>
      <c r="B746" s="4" t="s">
        <v>2261</v>
      </c>
      <c r="C746" s="4" t="s">
        <v>20</v>
      </c>
      <c r="D746" s="4"/>
      <c r="E746" s="4" t="s">
        <v>1384</v>
      </c>
      <c r="F746" s="4" t="s">
        <v>23</v>
      </c>
      <c r="G746" s="4" t="s">
        <v>24</v>
      </c>
      <c r="H746" s="4" t="s">
        <v>25</v>
      </c>
      <c r="I746" s="4" t="s">
        <v>2262</v>
      </c>
      <c r="J746" s="4" t="s">
        <v>2263</v>
      </c>
      <c r="K746" s="5">
        <v>43615</v>
      </c>
      <c r="L746" s="5">
        <v>43654</v>
      </c>
      <c r="M746" s="5">
        <v>43670</v>
      </c>
      <c r="N746" s="6">
        <f t="shared" si="51"/>
        <v>16</v>
      </c>
      <c r="O746" s="4" t="s">
        <v>762</v>
      </c>
      <c r="P746" s="4">
        <v>431646.38</v>
      </c>
      <c r="Q746" s="4"/>
      <c r="R746" s="4" t="str">
        <f t="shared" si="48"/>
        <v>2019</v>
      </c>
      <c r="S746" s="4" t="str">
        <f t="shared" si="49"/>
        <v>July</v>
      </c>
      <c r="T746" s="4">
        <f t="shared" si="50"/>
        <v>431646.38</v>
      </c>
      <c r="U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row>
    <row r="747" spans="1:53" ht="19.95" customHeight="1">
      <c r="A747" s="4">
        <v>746</v>
      </c>
      <c r="B747" s="4" t="s">
        <v>2264</v>
      </c>
      <c r="C747" s="4" t="s">
        <v>20</v>
      </c>
      <c r="D747" s="4"/>
      <c r="E747" s="4" t="s">
        <v>614</v>
      </c>
      <c r="F747" s="4" t="s">
        <v>23</v>
      </c>
      <c r="G747" s="4" t="s">
        <v>24</v>
      </c>
      <c r="H747" s="4" t="s">
        <v>25</v>
      </c>
      <c r="I747" s="4" t="s">
        <v>2265</v>
      </c>
      <c r="J747" s="4" t="s">
        <v>2266</v>
      </c>
      <c r="K747" s="5">
        <v>43614</v>
      </c>
      <c r="L747" s="5">
        <v>43563</v>
      </c>
      <c r="M747" s="5">
        <v>43578</v>
      </c>
      <c r="N747" s="6">
        <f t="shared" si="51"/>
        <v>15</v>
      </c>
      <c r="O747" s="4" t="s">
        <v>28</v>
      </c>
      <c r="P747" s="4">
        <v>6411</v>
      </c>
      <c r="Q747" s="4"/>
      <c r="R747" s="4" t="str">
        <f t="shared" si="48"/>
        <v>2019</v>
      </c>
      <c r="S747" s="4" t="str">
        <f t="shared" si="49"/>
        <v>April</v>
      </c>
      <c r="T747" s="4">
        <f t="shared" si="50"/>
        <v>6411</v>
      </c>
      <c r="U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row>
    <row r="748" spans="1:53" ht="19.95" customHeight="1">
      <c r="A748" s="4">
        <v>747</v>
      </c>
      <c r="B748" s="4" t="s">
        <v>2267</v>
      </c>
      <c r="C748" s="4" t="s">
        <v>65</v>
      </c>
      <c r="D748" s="4"/>
      <c r="E748" s="4" t="s">
        <v>2268</v>
      </c>
      <c r="F748" s="4" t="s">
        <v>48</v>
      </c>
      <c r="G748" s="4" t="s">
        <v>24</v>
      </c>
      <c r="H748" s="4" t="s">
        <v>49</v>
      </c>
      <c r="I748" s="4" t="s">
        <v>2269</v>
      </c>
      <c r="J748" s="4" t="s">
        <v>2270</v>
      </c>
      <c r="K748" s="5">
        <v>43613</v>
      </c>
      <c r="L748" s="5">
        <v>43646</v>
      </c>
      <c r="M748" s="5">
        <v>43659</v>
      </c>
      <c r="N748" s="6">
        <f t="shared" si="51"/>
        <v>13</v>
      </c>
      <c r="O748" s="4" t="s">
        <v>28</v>
      </c>
      <c r="P748" s="4">
        <v>7222.58</v>
      </c>
      <c r="Q748" s="4"/>
      <c r="R748" s="4" t="str">
        <f t="shared" si="48"/>
        <v>2019</v>
      </c>
      <c r="S748" s="4" t="str">
        <f t="shared" si="49"/>
        <v>June</v>
      </c>
      <c r="T748" s="4">
        <f t="shared" si="50"/>
        <v>7222.58</v>
      </c>
      <c r="U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row>
    <row r="749" spans="1:53" ht="19.95" customHeight="1">
      <c r="A749" s="4">
        <v>748</v>
      </c>
      <c r="B749" s="4" t="s">
        <v>2271</v>
      </c>
      <c r="C749" s="4" t="s">
        <v>20</v>
      </c>
      <c r="D749" s="4"/>
      <c r="E749" s="4" t="s">
        <v>614</v>
      </c>
      <c r="F749" s="4" t="s">
        <v>23</v>
      </c>
      <c r="G749" s="4" t="s">
        <v>24</v>
      </c>
      <c r="H749" s="4" t="s">
        <v>25</v>
      </c>
      <c r="I749" s="4" t="s">
        <v>2272</v>
      </c>
      <c r="J749" s="4" t="s">
        <v>2273</v>
      </c>
      <c r="K749" s="5">
        <v>43608</v>
      </c>
      <c r="L749" s="5">
        <v>43559</v>
      </c>
      <c r="M749" s="5">
        <v>43604</v>
      </c>
      <c r="N749" s="6">
        <f t="shared" si="51"/>
        <v>45</v>
      </c>
      <c r="O749" s="4" t="s">
        <v>28</v>
      </c>
      <c r="P749" s="4">
        <v>10068</v>
      </c>
      <c r="Q749" s="4"/>
      <c r="R749" s="4" t="str">
        <f t="shared" si="48"/>
        <v>2019</v>
      </c>
      <c r="S749" s="4" t="str">
        <f t="shared" si="49"/>
        <v>April</v>
      </c>
      <c r="T749" s="4">
        <f t="shared" si="50"/>
        <v>10068</v>
      </c>
      <c r="U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row>
    <row r="750" spans="1:53" ht="19.95" customHeight="1">
      <c r="A750" s="4">
        <v>749</v>
      </c>
      <c r="B750" s="4" t="s">
        <v>2274</v>
      </c>
      <c r="C750" s="4" t="s">
        <v>65</v>
      </c>
      <c r="D750" s="4"/>
      <c r="E750" s="4" t="s">
        <v>2275</v>
      </c>
      <c r="F750" s="4" t="s">
        <v>128</v>
      </c>
      <c r="G750" s="4" t="s">
        <v>24</v>
      </c>
      <c r="H750" s="4" t="s">
        <v>129</v>
      </c>
      <c r="I750" s="4" t="s">
        <v>2276</v>
      </c>
      <c r="J750" s="4" t="s">
        <v>2277</v>
      </c>
      <c r="K750" s="5">
        <v>43608</v>
      </c>
      <c r="L750" s="5">
        <v>43566</v>
      </c>
      <c r="M750" s="5">
        <v>43577</v>
      </c>
      <c r="N750" s="6">
        <f t="shared" si="51"/>
        <v>11</v>
      </c>
      <c r="O750" s="4" t="s">
        <v>28</v>
      </c>
      <c r="P750" s="4">
        <v>16840</v>
      </c>
      <c r="Q750" s="4"/>
      <c r="R750" s="4" t="str">
        <f t="shared" si="48"/>
        <v>2019</v>
      </c>
      <c r="S750" s="4" t="str">
        <f t="shared" si="49"/>
        <v>April</v>
      </c>
      <c r="T750" s="4">
        <f t="shared" si="50"/>
        <v>16840</v>
      </c>
      <c r="U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row>
    <row r="751" spans="1:53" ht="19.95" customHeight="1">
      <c r="A751" s="4">
        <v>750</v>
      </c>
      <c r="B751" s="4" t="s">
        <v>2278</v>
      </c>
      <c r="C751" s="4" t="s">
        <v>20</v>
      </c>
      <c r="D751" s="4"/>
      <c r="E751" s="4" t="s">
        <v>2197</v>
      </c>
      <c r="F751" s="4" t="s">
        <v>23</v>
      </c>
      <c r="G751" s="4" t="s">
        <v>24</v>
      </c>
      <c r="H751" s="4" t="s">
        <v>25</v>
      </c>
      <c r="I751" s="4" t="s">
        <v>2279</v>
      </c>
      <c r="J751" s="4" t="s">
        <v>2280</v>
      </c>
      <c r="K751" s="5">
        <v>43608</v>
      </c>
      <c r="L751" s="5">
        <v>43563</v>
      </c>
      <c r="M751" s="5">
        <v>43576</v>
      </c>
      <c r="N751" s="6">
        <f t="shared" si="51"/>
        <v>13</v>
      </c>
      <c r="O751" s="4" t="s">
        <v>28</v>
      </c>
      <c r="P751" s="4">
        <v>5584</v>
      </c>
      <c r="Q751" s="4"/>
      <c r="R751" s="4" t="str">
        <f t="shared" si="48"/>
        <v>2019</v>
      </c>
      <c r="S751" s="4" t="str">
        <f t="shared" si="49"/>
        <v>April</v>
      </c>
      <c r="T751" s="4">
        <f t="shared" si="50"/>
        <v>5584</v>
      </c>
      <c r="U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row>
    <row r="752" spans="1:53" ht="19.95" customHeight="1">
      <c r="A752" s="4">
        <v>751</v>
      </c>
      <c r="B752" s="4" t="s">
        <v>2281</v>
      </c>
      <c r="C752" s="4" t="s">
        <v>20</v>
      </c>
      <c r="D752" s="4"/>
      <c r="E752" s="4" t="s">
        <v>614</v>
      </c>
      <c r="F752" s="4" t="s">
        <v>23</v>
      </c>
      <c r="G752" s="4" t="s">
        <v>24</v>
      </c>
      <c r="H752" s="4" t="s">
        <v>25</v>
      </c>
      <c r="I752" s="4" t="s">
        <v>2282</v>
      </c>
      <c r="J752" s="4" t="s">
        <v>2283</v>
      </c>
      <c r="K752" s="5">
        <v>43607</v>
      </c>
      <c r="L752" s="5">
        <v>43567</v>
      </c>
      <c r="M752" s="5">
        <v>43573</v>
      </c>
      <c r="N752" s="6">
        <f t="shared" si="51"/>
        <v>6</v>
      </c>
      <c r="O752" s="4" t="s">
        <v>28</v>
      </c>
      <c r="P752" s="4">
        <v>2548</v>
      </c>
      <c r="Q752" s="4"/>
      <c r="R752" s="4" t="str">
        <f t="shared" si="48"/>
        <v>2019</v>
      </c>
      <c r="S752" s="4" t="str">
        <f t="shared" si="49"/>
        <v>April</v>
      </c>
      <c r="T752" s="4">
        <f t="shared" si="50"/>
        <v>2548</v>
      </c>
      <c r="U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row>
    <row r="753" spans="1:53" ht="19.95" customHeight="1">
      <c r="A753" s="4">
        <v>752</v>
      </c>
      <c r="B753" s="4" t="s">
        <v>2284</v>
      </c>
      <c r="C753" s="4" t="s">
        <v>65</v>
      </c>
      <c r="D753" s="4"/>
      <c r="E753" s="4" t="s">
        <v>2285</v>
      </c>
      <c r="F753" s="4" t="s">
        <v>589</v>
      </c>
      <c r="G753" s="4" t="s">
        <v>24</v>
      </c>
      <c r="H753" s="4" t="s">
        <v>346</v>
      </c>
      <c r="I753" s="4" t="s">
        <v>2286</v>
      </c>
      <c r="J753" s="4" t="s">
        <v>2287</v>
      </c>
      <c r="K753" s="5">
        <v>43607</v>
      </c>
      <c r="L753" s="5">
        <v>43621</v>
      </c>
      <c r="M753" s="5">
        <v>43633</v>
      </c>
      <c r="N753" s="6">
        <f t="shared" si="51"/>
        <v>12</v>
      </c>
      <c r="O753" s="4" t="s">
        <v>28</v>
      </c>
      <c r="P753" s="4">
        <v>5416.9</v>
      </c>
      <c r="Q753" s="4"/>
      <c r="R753" s="4" t="str">
        <f t="shared" si="48"/>
        <v>2019</v>
      </c>
      <c r="S753" s="4" t="str">
        <f t="shared" si="49"/>
        <v>June</v>
      </c>
      <c r="T753" s="4">
        <f t="shared" si="50"/>
        <v>5416.9</v>
      </c>
      <c r="U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row>
    <row r="754" spans="1:53" ht="19.95" customHeight="1">
      <c r="A754" s="4">
        <v>753</v>
      </c>
      <c r="B754" s="4" t="s">
        <v>2288</v>
      </c>
      <c r="C754" s="4" t="s">
        <v>65</v>
      </c>
      <c r="D754" s="4"/>
      <c r="E754" s="4" t="s">
        <v>1357</v>
      </c>
      <c r="F754" s="4" t="s">
        <v>589</v>
      </c>
      <c r="G754" s="4" t="s">
        <v>24</v>
      </c>
      <c r="H754" s="4" t="s">
        <v>346</v>
      </c>
      <c r="I754" s="4" t="s">
        <v>2286</v>
      </c>
      <c r="J754" s="4" t="s">
        <v>2287</v>
      </c>
      <c r="K754" s="5">
        <v>43607</v>
      </c>
      <c r="L754" s="5">
        <v>43621</v>
      </c>
      <c r="M754" s="5">
        <v>43633</v>
      </c>
      <c r="N754" s="6">
        <f t="shared" si="51"/>
        <v>12</v>
      </c>
      <c r="O754" s="4" t="s">
        <v>28</v>
      </c>
      <c r="P754" s="4">
        <v>2213.9</v>
      </c>
      <c r="Q754" s="4"/>
      <c r="R754" s="4" t="str">
        <f t="shared" si="48"/>
        <v>2019</v>
      </c>
      <c r="S754" s="4" t="str">
        <f t="shared" si="49"/>
        <v>June</v>
      </c>
      <c r="T754" s="4">
        <f t="shared" si="50"/>
        <v>2213.9</v>
      </c>
      <c r="U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row>
    <row r="755" spans="1:53" ht="19.95" customHeight="1">
      <c r="A755" s="4">
        <v>754</v>
      </c>
      <c r="B755" s="4" t="s">
        <v>2289</v>
      </c>
      <c r="C755" s="4" t="s">
        <v>20</v>
      </c>
      <c r="D755" s="4"/>
      <c r="E755" s="4" t="s">
        <v>2197</v>
      </c>
      <c r="F755" s="4" t="s">
        <v>23</v>
      </c>
      <c r="G755" s="4" t="s">
        <v>24</v>
      </c>
      <c r="H755" s="4" t="s">
        <v>25</v>
      </c>
      <c r="I755" s="4" t="s">
        <v>2290</v>
      </c>
      <c r="J755" s="4" t="s">
        <v>2291</v>
      </c>
      <c r="K755" s="5">
        <v>43607</v>
      </c>
      <c r="L755" s="5">
        <v>43567</v>
      </c>
      <c r="M755" s="5">
        <v>43574</v>
      </c>
      <c r="N755" s="6">
        <f t="shared" si="51"/>
        <v>7</v>
      </c>
      <c r="O755" s="4" t="s">
        <v>28</v>
      </c>
      <c r="P755" s="4">
        <v>2083</v>
      </c>
      <c r="Q755" s="4"/>
      <c r="R755" s="4" t="str">
        <f t="shared" si="48"/>
        <v>2019</v>
      </c>
      <c r="S755" s="4" t="str">
        <f t="shared" si="49"/>
        <v>April</v>
      </c>
      <c r="T755" s="4">
        <f t="shared" si="50"/>
        <v>2083</v>
      </c>
      <c r="U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row>
    <row r="756" spans="1:53" ht="19.95" customHeight="1">
      <c r="A756" s="4">
        <v>755</v>
      </c>
      <c r="B756" s="4" t="s">
        <v>2292</v>
      </c>
      <c r="C756" s="4" t="s">
        <v>20</v>
      </c>
      <c r="D756" s="4"/>
      <c r="E756" s="4" t="s">
        <v>1523</v>
      </c>
      <c r="F756" s="4" t="s">
        <v>23</v>
      </c>
      <c r="G756" s="4" t="s">
        <v>24</v>
      </c>
      <c r="H756" s="4" t="s">
        <v>25</v>
      </c>
      <c r="I756" s="4" t="s">
        <v>2293</v>
      </c>
      <c r="J756" s="4" t="s">
        <v>2294</v>
      </c>
      <c r="K756" s="5">
        <v>43607</v>
      </c>
      <c r="L756" s="5">
        <v>43629</v>
      </c>
      <c r="M756" s="5">
        <v>43640</v>
      </c>
      <c r="N756" s="6">
        <f t="shared" si="51"/>
        <v>11</v>
      </c>
      <c r="O756" s="4" t="s">
        <v>28</v>
      </c>
      <c r="P756" s="4">
        <v>929.7</v>
      </c>
      <c r="Q756" s="4"/>
      <c r="R756" s="4" t="str">
        <f t="shared" si="48"/>
        <v>2019</v>
      </c>
      <c r="S756" s="4" t="str">
        <f t="shared" si="49"/>
        <v>June</v>
      </c>
      <c r="T756" s="4">
        <f t="shared" si="50"/>
        <v>929.7</v>
      </c>
      <c r="U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row>
    <row r="757" spans="1:53" ht="19.95" customHeight="1">
      <c r="A757" s="4">
        <v>756</v>
      </c>
      <c r="B757" s="4" t="s">
        <v>2295</v>
      </c>
      <c r="C757" s="4" t="s">
        <v>20</v>
      </c>
      <c r="D757" s="4"/>
      <c r="E757" s="4" t="s">
        <v>614</v>
      </c>
      <c r="F757" s="4" t="s">
        <v>48</v>
      </c>
      <c r="G757" s="4" t="s">
        <v>24</v>
      </c>
      <c r="H757" s="4" t="s">
        <v>49</v>
      </c>
      <c r="I757" s="4" t="s">
        <v>2296</v>
      </c>
      <c r="J757" s="4" t="s">
        <v>2297</v>
      </c>
      <c r="K757" s="5">
        <v>43606</v>
      </c>
      <c r="L757" s="5">
        <v>43562</v>
      </c>
      <c r="M757" s="5">
        <v>43574</v>
      </c>
      <c r="N757" s="6">
        <f t="shared" si="51"/>
        <v>12</v>
      </c>
      <c r="O757" s="4" t="s">
        <v>28</v>
      </c>
      <c r="P757" s="4">
        <v>5758</v>
      </c>
      <c r="Q757" s="4"/>
      <c r="R757" s="4" t="str">
        <f t="shared" si="48"/>
        <v>2019</v>
      </c>
      <c r="S757" s="4" t="str">
        <f t="shared" si="49"/>
        <v>April</v>
      </c>
      <c r="T757" s="4">
        <f t="shared" si="50"/>
        <v>5758</v>
      </c>
      <c r="U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row>
    <row r="758" spans="1:53" ht="19.95" customHeight="1">
      <c r="A758" s="4">
        <v>757</v>
      </c>
      <c r="B758" s="4" t="s">
        <v>2298</v>
      </c>
      <c r="C758" s="4" t="s">
        <v>65</v>
      </c>
      <c r="D758" s="4"/>
      <c r="E758" s="4" t="s">
        <v>2299</v>
      </c>
      <c r="F758" s="4" t="s">
        <v>23</v>
      </c>
      <c r="G758" s="4" t="s">
        <v>24</v>
      </c>
      <c r="H758" s="4" t="s">
        <v>25</v>
      </c>
      <c r="I758" s="4" t="s">
        <v>2300</v>
      </c>
      <c r="J758" s="4" t="s">
        <v>2301</v>
      </c>
      <c r="K758" s="5">
        <v>43606</v>
      </c>
      <c r="L758" s="5">
        <v>43561</v>
      </c>
      <c r="M758" s="5">
        <v>43576</v>
      </c>
      <c r="N758" s="6">
        <f t="shared" si="51"/>
        <v>15</v>
      </c>
      <c r="O758" s="4" t="s">
        <v>28</v>
      </c>
      <c r="P758" s="4">
        <v>10471.5</v>
      </c>
      <c r="Q758" s="4"/>
      <c r="R758" s="4" t="str">
        <f t="shared" si="48"/>
        <v>2019</v>
      </c>
      <c r="S758" s="4" t="str">
        <f t="shared" si="49"/>
        <v>April</v>
      </c>
      <c r="T758" s="4">
        <f t="shared" si="50"/>
        <v>10471.5</v>
      </c>
      <c r="U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row>
    <row r="759" spans="1:53" ht="19.95" customHeight="1">
      <c r="A759" s="4">
        <v>758</v>
      </c>
      <c r="B759" s="4" t="s">
        <v>2302</v>
      </c>
      <c r="C759" s="4" t="s">
        <v>20</v>
      </c>
      <c r="D759" s="4"/>
      <c r="E759" s="4" t="s">
        <v>614</v>
      </c>
      <c r="F759" s="4" t="s">
        <v>23</v>
      </c>
      <c r="G759" s="4" t="s">
        <v>24</v>
      </c>
      <c r="H759" s="4" t="s">
        <v>25</v>
      </c>
      <c r="I759" s="4" t="s">
        <v>2303</v>
      </c>
      <c r="J759" s="4" t="s">
        <v>2304</v>
      </c>
      <c r="K759" s="5">
        <v>43606</v>
      </c>
      <c r="L759" s="5">
        <v>43564</v>
      </c>
      <c r="M759" s="5">
        <v>43576</v>
      </c>
      <c r="N759" s="6">
        <f t="shared" si="51"/>
        <v>12</v>
      </c>
      <c r="O759" s="4" t="s">
        <v>28</v>
      </c>
      <c r="P759" s="4">
        <v>4325</v>
      </c>
      <c r="Q759" s="4"/>
      <c r="R759" s="4" t="str">
        <f t="shared" si="48"/>
        <v>2019</v>
      </c>
      <c r="S759" s="4" t="str">
        <f t="shared" si="49"/>
        <v>April</v>
      </c>
      <c r="T759" s="4">
        <f t="shared" si="50"/>
        <v>4325</v>
      </c>
      <c r="U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row>
    <row r="760" spans="1:53" ht="19.95" customHeight="1">
      <c r="A760" s="4">
        <v>759</v>
      </c>
      <c r="B760" s="4" t="s">
        <v>2305</v>
      </c>
      <c r="C760" s="4" t="s">
        <v>20</v>
      </c>
      <c r="D760" s="4"/>
      <c r="E760" s="4" t="s">
        <v>614</v>
      </c>
      <c r="F760" s="4" t="s">
        <v>23</v>
      </c>
      <c r="G760" s="4" t="s">
        <v>24</v>
      </c>
      <c r="H760" s="4" t="s">
        <v>25</v>
      </c>
      <c r="I760" s="4" t="s">
        <v>2306</v>
      </c>
      <c r="J760" s="4" t="s">
        <v>2307</v>
      </c>
      <c r="K760" s="5">
        <v>43606</v>
      </c>
      <c r="L760" s="5">
        <v>43568</v>
      </c>
      <c r="M760" s="5">
        <v>43576</v>
      </c>
      <c r="N760" s="6">
        <f t="shared" si="51"/>
        <v>8</v>
      </c>
      <c r="O760" s="4" t="s">
        <v>28</v>
      </c>
      <c r="P760" s="4">
        <v>2985</v>
      </c>
      <c r="Q760" s="4"/>
      <c r="R760" s="4" t="str">
        <f t="shared" si="48"/>
        <v>2019</v>
      </c>
      <c r="S760" s="4" t="str">
        <f t="shared" si="49"/>
        <v>April</v>
      </c>
      <c r="T760" s="4">
        <f t="shared" si="50"/>
        <v>2985</v>
      </c>
      <c r="U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row>
    <row r="761" spans="1:53" ht="19.95" customHeight="1">
      <c r="A761" s="4">
        <v>760</v>
      </c>
      <c r="B761" s="4" t="s">
        <v>2308</v>
      </c>
      <c r="C761" s="4" t="s">
        <v>20</v>
      </c>
      <c r="D761" s="4"/>
      <c r="E761" s="4" t="s">
        <v>1759</v>
      </c>
      <c r="F761" s="4" t="s">
        <v>23</v>
      </c>
      <c r="G761" s="4" t="s">
        <v>24</v>
      </c>
      <c r="H761" s="4" t="s">
        <v>25</v>
      </c>
      <c r="I761" s="4" t="s">
        <v>2309</v>
      </c>
      <c r="J761" s="4" t="s">
        <v>2310</v>
      </c>
      <c r="K761" s="5">
        <v>43606</v>
      </c>
      <c r="L761" s="5">
        <v>43573</v>
      </c>
      <c r="M761" s="5">
        <v>43583</v>
      </c>
      <c r="N761" s="6">
        <f t="shared" si="51"/>
        <v>10</v>
      </c>
      <c r="O761" s="4" t="s">
        <v>28</v>
      </c>
      <c r="P761" s="4">
        <v>4897</v>
      </c>
      <c r="Q761" s="4"/>
      <c r="R761" s="4" t="str">
        <f t="shared" si="48"/>
        <v>2019</v>
      </c>
      <c r="S761" s="4" t="str">
        <f t="shared" si="49"/>
        <v>April</v>
      </c>
      <c r="T761" s="4">
        <f t="shared" si="50"/>
        <v>4897</v>
      </c>
      <c r="U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row>
    <row r="762" spans="1:53" ht="19.95" customHeight="1">
      <c r="A762" s="4">
        <v>761</v>
      </c>
      <c r="B762" s="4" t="s">
        <v>2311</v>
      </c>
      <c r="C762" s="4" t="s">
        <v>20</v>
      </c>
      <c r="D762" s="4"/>
      <c r="E762" s="4" t="s">
        <v>2197</v>
      </c>
      <c r="F762" s="4" t="s">
        <v>23</v>
      </c>
      <c r="G762" s="4" t="s">
        <v>24</v>
      </c>
      <c r="H762" s="4" t="s">
        <v>25</v>
      </c>
      <c r="I762" s="4" t="s">
        <v>2312</v>
      </c>
      <c r="J762" s="4" t="s">
        <v>2313</v>
      </c>
      <c r="K762" s="5">
        <v>43605</v>
      </c>
      <c r="L762" s="5">
        <v>43569</v>
      </c>
      <c r="M762" s="5">
        <v>43575</v>
      </c>
      <c r="N762" s="6">
        <f t="shared" si="51"/>
        <v>6</v>
      </c>
      <c r="O762" s="4" t="s">
        <v>28</v>
      </c>
      <c r="P762" s="4">
        <v>1572</v>
      </c>
      <c r="Q762" s="4"/>
      <c r="R762" s="4" t="str">
        <f t="shared" si="48"/>
        <v>2019</v>
      </c>
      <c r="S762" s="4" t="str">
        <f t="shared" si="49"/>
        <v>April</v>
      </c>
      <c r="T762" s="4">
        <f t="shared" si="50"/>
        <v>1572</v>
      </c>
      <c r="U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row>
    <row r="763" spans="1:53" ht="19.95" customHeight="1">
      <c r="A763" s="4">
        <v>762</v>
      </c>
      <c r="B763" s="4" t="s">
        <v>2314</v>
      </c>
      <c r="C763" s="4" t="s">
        <v>20</v>
      </c>
      <c r="D763" s="4"/>
      <c r="E763" s="4" t="s">
        <v>614</v>
      </c>
      <c r="F763" s="4" t="s">
        <v>2192</v>
      </c>
      <c r="G763" s="4" t="s">
        <v>24</v>
      </c>
      <c r="H763" s="4" t="s">
        <v>25</v>
      </c>
      <c r="I763" s="4" t="s">
        <v>2315</v>
      </c>
      <c r="J763" s="4" t="s">
        <v>2316</v>
      </c>
      <c r="K763" s="5">
        <v>43605</v>
      </c>
      <c r="L763" s="5">
        <v>43564</v>
      </c>
      <c r="M763" s="5">
        <v>43575</v>
      </c>
      <c r="N763" s="6">
        <f t="shared" si="51"/>
        <v>11</v>
      </c>
      <c r="O763" s="4" t="s">
        <v>334</v>
      </c>
      <c r="P763" s="4">
        <v>8845</v>
      </c>
      <c r="Q763" s="4"/>
      <c r="R763" s="4" t="str">
        <f t="shared" si="48"/>
        <v>2019</v>
      </c>
      <c r="S763" s="4" t="str">
        <f t="shared" si="49"/>
        <v>April</v>
      </c>
      <c r="T763" s="4">
        <f t="shared" si="50"/>
        <v>8845</v>
      </c>
      <c r="U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row>
    <row r="764" spans="1:53" ht="19.95" customHeight="1">
      <c r="A764" s="4">
        <v>763</v>
      </c>
      <c r="B764" s="4" t="s">
        <v>2317</v>
      </c>
      <c r="C764" s="4" t="s">
        <v>20</v>
      </c>
      <c r="D764" s="4"/>
      <c r="E764" s="4" t="s">
        <v>2238</v>
      </c>
      <c r="F764" s="4" t="s">
        <v>23</v>
      </c>
      <c r="G764" s="4" t="s">
        <v>24</v>
      </c>
      <c r="H764" s="4" t="s">
        <v>25</v>
      </c>
      <c r="I764" s="4" t="s">
        <v>2318</v>
      </c>
      <c r="J764" s="4" t="s">
        <v>2319</v>
      </c>
      <c r="K764" s="5">
        <v>43605</v>
      </c>
      <c r="L764" s="5">
        <v>43560</v>
      </c>
      <c r="M764" s="5">
        <v>43572</v>
      </c>
      <c r="N764" s="6">
        <f t="shared" si="51"/>
        <v>12</v>
      </c>
      <c r="O764" s="4" t="s">
        <v>28</v>
      </c>
      <c r="P764" s="4">
        <v>2980.71</v>
      </c>
      <c r="Q764" s="4"/>
      <c r="R764" s="4" t="str">
        <f t="shared" si="48"/>
        <v>2019</v>
      </c>
      <c r="S764" s="4" t="str">
        <f t="shared" si="49"/>
        <v>April</v>
      </c>
      <c r="T764" s="4">
        <f t="shared" si="50"/>
        <v>2980.71</v>
      </c>
      <c r="U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row>
    <row r="765" spans="1:53" ht="19.95" customHeight="1">
      <c r="A765" s="4">
        <v>764</v>
      </c>
      <c r="B765" s="4" t="s">
        <v>2320</v>
      </c>
      <c r="C765" s="4" t="s">
        <v>20</v>
      </c>
      <c r="D765" s="4"/>
      <c r="E765" s="4" t="s">
        <v>614</v>
      </c>
      <c r="F765" s="4" t="s">
        <v>48</v>
      </c>
      <c r="G765" s="4" t="s">
        <v>24</v>
      </c>
      <c r="H765" s="4" t="s">
        <v>49</v>
      </c>
      <c r="I765" s="4" t="s">
        <v>2321</v>
      </c>
      <c r="J765" s="4" t="s">
        <v>2322</v>
      </c>
      <c r="K765" s="5">
        <v>43605</v>
      </c>
      <c r="L765" s="5">
        <v>43568</v>
      </c>
      <c r="M765" s="5">
        <v>43582</v>
      </c>
      <c r="N765" s="6">
        <f t="shared" si="51"/>
        <v>14</v>
      </c>
      <c r="O765" s="4" t="s">
        <v>28</v>
      </c>
      <c r="P765" s="4">
        <v>6521</v>
      </c>
      <c r="Q765" s="4"/>
      <c r="R765" s="4" t="str">
        <f t="shared" si="48"/>
        <v>2019</v>
      </c>
      <c r="S765" s="4" t="str">
        <f t="shared" si="49"/>
        <v>April</v>
      </c>
      <c r="T765" s="4">
        <f t="shared" si="50"/>
        <v>6521</v>
      </c>
      <c r="U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row>
    <row r="766" spans="1:53" ht="19.95" customHeight="1">
      <c r="A766" s="4">
        <v>765</v>
      </c>
      <c r="B766" s="4" t="s">
        <v>2323</v>
      </c>
      <c r="C766" s="4" t="s">
        <v>20</v>
      </c>
      <c r="D766" s="4"/>
      <c r="E766" s="4" t="s">
        <v>1523</v>
      </c>
      <c r="F766" s="4" t="s">
        <v>24</v>
      </c>
      <c r="G766" s="4" t="s">
        <v>24</v>
      </c>
      <c r="H766" s="4" t="s">
        <v>200</v>
      </c>
      <c r="I766" s="4" t="s">
        <v>2324</v>
      </c>
      <c r="J766" s="4"/>
      <c r="K766" s="5">
        <v>43605</v>
      </c>
      <c r="L766" s="5">
        <v>43576</v>
      </c>
      <c r="M766" s="5">
        <v>43576</v>
      </c>
      <c r="N766" s="6">
        <f t="shared" si="51"/>
        <v>0</v>
      </c>
      <c r="O766" s="4" t="s">
        <v>28</v>
      </c>
      <c r="P766" s="4">
        <v>203</v>
      </c>
      <c r="Q766" s="4"/>
      <c r="R766" s="4" t="str">
        <f t="shared" si="48"/>
        <v>2019</v>
      </c>
      <c r="S766" s="4" t="str">
        <f t="shared" si="49"/>
        <v>April</v>
      </c>
      <c r="T766" s="4">
        <f t="shared" si="50"/>
        <v>203</v>
      </c>
      <c r="U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row>
    <row r="767" spans="1:53" ht="19.95" customHeight="1">
      <c r="A767" s="4">
        <v>766</v>
      </c>
      <c r="B767" s="4" t="s">
        <v>2325</v>
      </c>
      <c r="C767" s="4" t="s">
        <v>20</v>
      </c>
      <c r="D767" s="4"/>
      <c r="E767" s="4" t="s">
        <v>2326</v>
      </c>
      <c r="F767" s="4" t="s">
        <v>285</v>
      </c>
      <c r="G767" s="4" t="s">
        <v>24</v>
      </c>
      <c r="H767" s="4" t="s">
        <v>286</v>
      </c>
      <c r="I767" s="4" t="s">
        <v>2327</v>
      </c>
      <c r="J767" s="4" t="s">
        <v>2328</v>
      </c>
      <c r="K767" s="5">
        <v>43605</v>
      </c>
      <c r="L767" s="5">
        <v>43665</v>
      </c>
      <c r="M767" s="5">
        <v>43682</v>
      </c>
      <c r="N767" s="6">
        <f t="shared" si="51"/>
        <v>17</v>
      </c>
      <c r="O767" s="4" t="s">
        <v>2100</v>
      </c>
      <c r="P767" s="4">
        <v>3100</v>
      </c>
      <c r="Q767" s="4"/>
      <c r="R767" s="4" t="str">
        <f t="shared" si="48"/>
        <v>2019</v>
      </c>
      <c r="S767" s="4" t="str">
        <f t="shared" si="49"/>
        <v>July</v>
      </c>
      <c r="T767" s="4">
        <f t="shared" si="50"/>
        <v>3100</v>
      </c>
      <c r="U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row>
    <row r="768" spans="1:53" ht="19.95" customHeight="1">
      <c r="A768" s="4">
        <v>767</v>
      </c>
      <c r="B768" s="4" t="s">
        <v>2329</v>
      </c>
      <c r="C768" s="4" t="s">
        <v>20</v>
      </c>
      <c r="D768" s="4"/>
      <c r="E768" s="4" t="s">
        <v>614</v>
      </c>
      <c r="F768" s="4" t="s">
        <v>48</v>
      </c>
      <c r="G768" s="4" t="s">
        <v>24</v>
      </c>
      <c r="H768" s="4" t="s">
        <v>49</v>
      </c>
      <c r="I768" s="4" t="s">
        <v>2330</v>
      </c>
      <c r="J768" s="4" t="s">
        <v>2331</v>
      </c>
      <c r="K768" s="5">
        <v>43605</v>
      </c>
      <c r="L768" s="5">
        <v>43561</v>
      </c>
      <c r="M768" s="5">
        <v>43573</v>
      </c>
      <c r="N768" s="6">
        <f t="shared" si="51"/>
        <v>12</v>
      </c>
      <c r="O768" s="4" t="s">
        <v>28</v>
      </c>
      <c r="P768" s="4">
        <v>5412</v>
      </c>
      <c r="Q768" s="4"/>
      <c r="R768" s="4" t="str">
        <f t="shared" si="48"/>
        <v>2019</v>
      </c>
      <c r="S768" s="4" t="str">
        <f t="shared" si="49"/>
        <v>April</v>
      </c>
      <c r="T768" s="4">
        <f t="shared" si="50"/>
        <v>5412</v>
      </c>
      <c r="U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row>
    <row r="769" spans="1:53" ht="19.95" customHeight="1">
      <c r="A769" s="4">
        <v>768</v>
      </c>
      <c r="B769" s="4" t="s">
        <v>2332</v>
      </c>
      <c r="C769" s="4" t="s">
        <v>20</v>
      </c>
      <c r="D769" s="4"/>
      <c r="E769" s="4" t="s">
        <v>1523</v>
      </c>
      <c r="F769" s="4" t="s">
        <v>1214</v>
      </c>
      <c r="G769" s="4" t="s">
        <v>24</v>
      </c>
      <c r="H769" s="4" t="s">
        <v>200</v>
      </c>
      <c r="I769" s="4" t="s">
        <v>2131</v>
      </c>
      <c r="J769" s="4" t="s">
        <v>2132</v>
      </c>
      <c r="K769" s="5">
        <v>43604</v>
      </c>
      <c r="L769" s="5">
        <v>43609</v>
      </c>
      <c r="M769" s="5">
        <v>43609</v>
      </c>
      <c r="N769" s="6">
        <f t="shared" si="51"/>
        <v>0</v>
      </c>
      <c r="O769" s="4" t="s">
        <v>28</v>
      </c>
      <c r="P769" s="4">
        <v>1133</v>
      </c>
      <c r="Q769" s="4"/>
      <c r="R769" s="4" t="str">
        <f t="shared" si="48"/>
        <v>2019</v>
      </c>
      <c r="S769" s="4" t="str">
        <f t="shared" si="49"/>
        <v>May</v>
      </c>
      <c r="T769" s="4">
        <f t="shared" si="50"/>
        <v>1133</v>
      </c>
      <c r="U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row>
    <row r="770" spans="1:53" ht="19.95" customHeight="1">
      <c r="A770" s="4">
        <v>769</v>
      </c>
      <c r="B770" s="4" t="s">
        <v>2333</v>
      </c>
      <c r="C770" s="4" t="s">
        <v>20</v>
      </c>
      <c r="D770" s="4"/>
      <c r="E770" s="4" t="s">
        <v>1618</v>
      </c>
      <c r="F770" s="4" t="s">
        <v>24</v>
      </c>
      <c r="G770" s="4" t="s">
        <v>24</v>
      </c>
      <c r="H770" s="4" t="s">
        <v>200</v>
      </c>
      <c r="I770" s="4" t="s">
        <v>2334</v>
      </c>
      <c r="J770" s="4"/>
      <c r="K770" s="5">
        <v>43603</v>
      </c>
      <c r="L770" s="5">
        <v>43607</v>
      </c>
      <c r="M770" s="5">
        <v>43607</v>
      </c>
      <c r="N770" s="6">
        <f t="shared" si="51"/>
        <v>0</v>
      </c>
      <c r="O770" s="4" t="s">
        <v>28</v>
      </c>
      <c r="P770" s="4">
        <v>210.32</v>
      </c>
      <c r="Q770" s="4"/>
      <c r="R770" s="4" t="str">
        <f t="shared" ref="R770:R806" si="52">TEXT(L770,"YYY")</f>
        <v>2019</v>
      </c>
      <c r="S770" s="4" t="str">
        <f t="shared" ref="S770:S806" si="53">TEXT(L770,"MMMM")</f>
        <v>May</v>
      </c>
      <c r="T770" s="4">
        <f t="shared" ref="T770:T806" si="54">P770</f>
        <v>210.32</v>
      </c>
      <c r="U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row>
    <row r="771" spans="1:53" ht="19.95" customHeight="1">
      <c r="A771" s="4">
        <v>770</v>
      </c>
      <c r="B771" s="4" t="s">
        <v>2335</v>
      </c>
      <c r="C771" s="4" t="s">
        <v>20</v>
      </c>
      <c r="D771" s="4"/>
      <c r="E771" s="4" t="s">
        <v>1523</v>
      </c>
      <c r="F771" s="4" t="s">
        <v>96</v>
      </c>
      <c r="G771" s="4" t="s">
        <v>24</v>
      </c>
      <c r="H771" s="4" t="s">
        <v>97</v>
      </c>
      <c r="I771" s="4" t="s">
        <v>2336</v>
      </c>
      <c r="J771" s="4" t="s">
        <v>2337</v>
      </c>
      <c r="K771" s="5">
        <v>43602</v>
      </c>
      <c r="L771" s="5">
        <v>43617</v>
      </c>
      <c r="M771" s="5">
        <v>43628</v>
      </c>
      <c r="N771" s="6">
        <f t="shared" si="51"/>
        <v>11</v>
      </c>
      <c r="O771" s="4" t="s">
        <v>28</v>
      </c>
      <c r="P771" s="4">
        <v>4950</v>
      </c>
      <c r="Q771" s="4"/>
      <c r="R771" s="4" t="str">
        <f t="shared" si="52"/>
        <v>2019</v>
      </c>
      <c r="S771" s="4" t="str">
        <f t="shared" si="53"/>
        <v>June</v>
      </c>
      <c r="T771" s="4">
        <f t="shared" si="54"/>
        <v>4950</v>
      </c>
      <c r="U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row>
    <row r="772" spans="1:53" ht="19.95" customHeight="1">
      <c r="A772" s="4">
        <v>771</v>
      </c>
      <c r="B772" s="4" t="s">
        <v>2338</v>
      </c>
      <c r="C772" s="4" t="s">
        <v>20</v>
      </c>
      <c r="D772" s="4"/>
      <c r="E772" s="4" t="s">
        <v>455</v>
      </c>
      <c r="F772" s="4" t="s">
        <v>856</v>
      </c>
      <c r="G772" s="4" t="s">
        <v>24</v>
      </c>
      <c r="H772" s="4" t="s">
        <v>286</v>
      </c>
      <c r="I772" s="4" t="s">
        <v>2339</v>
      </c>
      <c r="J772" s="4"/>
      <c r="K772" s="5">
        <v>43601</v>
      </c>
      <c r="L772" s="5">
        <v>43561</v>
      </c>
      <c r="M772" s="5">
        <v>43569</v>
      </c>
      <c r="N772" s="6">
        <f t="shared" si="51"/>
        <v>8</v>
      </c>
      <c r="O772" s="4" t="s">
        <v>28</v>
      </c>
      <c r="P772" s="4">
        <v>2914</v>
      </c>
      <c r="Q772" s="4"/>
      <c r="R772" s="4" t="str">
        <f t="shared" si="52"/>
        <v>2019</v>
      </c>
      <c r="S772" s="4" t="str">
        <f t="shared" si="53"/>
        <v>April</v>
      </c>
      <c r="T772" s="4">
        <f t="shared" si="54"/>
        <v>2914</v>
      </c>
      <c r="U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row>
    <row r="773" spans="1:53" ht="19.95" customHeight="1">
      <c r="A773" s="4">
        <v>772</v>
      </c>
      <c r="B773" s="4" t="s">
        <v>2340</v>
      </c>
      <c r="C773" s="4" t="s">
        <v>20</v>
      </c>
      <c r="D773" s="4"/>
      <c r="E773" s="4" t="s">
        <v>455</v>
      </c>
      <c r="F773" s="4" t="s">
        <v>23</v>
      </c>
      <c r="G773" s="4" t="s">
        <v>24</v>
      </c>
      <c r="H773" s="4" t="s">
        <v>1115</v>
      </c>
      <c r="I773" s="4" t="s">
        <v>2341</v>
      </c>
      <c r="J773" s="4" t="s">
        <v>2342</v>
      </c>
      <c r="K773" s="5">
        <v>43601</v>
      </c>
      <c r="L773" s="5">
        <v>43567</v>
      </c>
      <c r="M773" s="5">
        <v>43581</v>
      </c>
      <c r="N773" s="6">
        <f t="shared" si="51"/>
        <v>14</v>
      </c>
      <c r="O773" s="4" t="s">
        <v>28</v>
      </c>
      <c r="P773" s="4">
        <v>2572</v>
      </c>
      <c r="Q773" s="4"/>
      <c r="R773" s="4" t="str">
        <f t="shared" si="52"/>
        <v>2019</v>
      </c>
      <c r="S773" s="4" t="str">
        <f t="shared" si="53"/>
        <v>April</v>
      </c>
      <c r="T773" s="4">
        <f t="shared" si="54"/>
        <v>2572</v>
      </c>
      <c r="U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row>
    <row r="774" spans="1:53" ht="19.95" customHeight="1">
      <c r="A774" s="4">
        <v>773</v>
      </c>
      <c r="B774" s="4" t="s">
        <v>2343</v>
      </c>
      <c r="C774" s="4" t="s">
        <v>20</v>
      </c>
      <c r="D774" s="4"/>
      <c r="E774" s="4" t="s">
        <v>2275</v>
      </c>
      <c r="F774" s="4" t="s">
        <v>23</v>
      </c>
      <c r="G774" s="4" t="s">
        <v>24</v>
      </c>
      <c r="H774" s="4" t="s">
        <v>25</v>
      </c>
      <c r="I774" s="4" t="s">
        <v>2344</v>
      </c>
      <c r="J774" s="4" t="s">
        <v>2345</v>
      </c>
      <c r="K774" s="5">
        <v>43601</v>
      </c>
      <c r="L774" s="5">
        <v>43560</v>
      </c>
      <c r="M774" s="5">
        <v>43603</v>
      </c>
      <c r="N774" s="6">
        <f t="shared" si="51"/>
        <v>43</v>
      </c>
      <c r="O774" s="4" t="s">
        <v>28</v>
      </c>
      <c r="P774" s="4">
        <v>4132</v>
      </c>
      <c r="Q774" s="4"/>
      <c r="R774" s="4" t="str">
        <f t="shared" si="52"/>
        <v>2019</v>
      </c>
      <c r="S774" s="4" t="str">
        <f t="shared" si="53"/>
        <v>April</v>
      </c>
      <c r="T774" s="4">
        <f t="shared" si="54"/>
        <v>4132</v>
      </c>
      <c r="U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row>
    <row r="775" spans="1:53" ht="19.95" customHeight="1">
      <c r="A775" s="4">
        <v>774</v>
      </c>
      <c r="B775" s="4" t="s">
        <v>2346</v>
      </c>
      <c r="C775" s="4" t="s">
        <v>20</v>
      </c>
      <c r="D775" s="4"/>
      <c r="E775" s="4" t="s">
        <v>2197</v>
      </c>
      <c r="F775" s="4" t="s">
        <v>48</v>
      </c>
      <c r="G775" s="4" t="s">
        <v>24</v>
      </c>
      <c r="H775" s="4" t="s">
        <v>49</v>
      </c>
      <c r="I775" s="4" t="s">
        <v>2347</v>
      </c>
      <c r="J775" s="4" t="s">
        <v>2348</v>
      </c>
      <c r="K775" s="5">
        <v>43601</v>
      </c>
      <c r="L775" s="5">
        <v>43569</v>
      </c>
      <c r="M775" s="5">
        <v>43580</v>
      </c>
      <c r="N775" s="6">
        <f t="shared" si="51"/>
        <v>11</v>
      </c>
      <c r="O775" s="4" t="s">
        <v>28</v>
      </c>
      <c r="P775" s="4">
        <v>4860</v>
      </c>
      <c r="Q775" s="4"/>
      <c r="R775" s="4" t="str">
        <f t="shared" si="52"/>
        <v>2019</v>
      </c>
      <c r="S775" s="4" t="str">
        <f t="shared" si="53"/>
        <v>April</v>
      </c>
      <c r="T775" s="4">
        <f t="shared" si="54"/>
        <v>4860</v>
      </c>
      <c r="U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row>
    <row r="776" spans="1:53" ht="19.95" customHeight="1">
      <c r="A776" s="4">
        <v>775</v>
      </c>
      <c r="B776" s="4" t="s">
        <v>2349</v>
      </c>
      <c r="C776" s="4" t="s">
        <v>20</v>
      </c>
      <c r="D776" s="4"/>
      <c r="E776" s="4" t="s">
        <v>2197</v>
      </c>
      <c r="F776" s="4" t="s">
        <v>2192</v>
      </c>
      <c r="G776" s="4" t="s">
        <v>24</v>
      </c>
      <c r="H776" s="4" t="s">
        <v>25</v>
      </c>
      <c r="I776" s="4" t="s">
        <v>2350</v>
      </c>
      <c r="J776" s="4"/>
      <c r="K776" s="5">
        <v>43600</v>
      </c>
      <c r="L776" s="5">
        <v>43563</v>
      </c>
      <c r="M776" s="5">
        <v>43600</v>
      </c>
      <c r="N776" s="6">
        <f t="shared" si="51"/>
        <v>37</v>
      </c>
      <c r="O776" s="4" t="s">
        <v>334</v>
      </c>
      <c r="P776" s="4">
        <v>8145</v>
      </c>
      <c r="Q776" s="4"/>
      <c r="R776" s="4" t="str">
        <f t="shared" si="52"/>
        <v>2019</v>
      </c>
      <c r="S776" s="4" t="str">
        <f t="shared" si="53"/>
        <v>April</v>
      </c>
      <c r="T776" s="4">
        <f t="shared" si="54"/>
        <v>8145</v>
      </c>
      <c r="U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row>
    <row r="777" spans="1:53" ht="19.95" customHeight="1">
      <c r="A777" s="4">
        <v>776</v>
      </c>
      <c r="B777" s="4" t="s">
        <v>2351</v>
      </c>
      <c r="C777" s="4" t="s">
        <v>65</v>
      </c>
      <c r="D777" s="4"/>
      <c r="E777" s="4" t="s">
        <v>1851</v>
      </c>
      <c r="F777" s="4" t="s">
        <v>589</v>
      </c>
      <c r="G777" s="4" t="s">
        <v>24</v>
      </c>
      <c r="H777" s="4" t="s">
        <v>331</v>
      </c>
      <c r="I777" s="4" t="s">
        <v>2352</v>
      </c>
      <c r="J777" s="4"/>
      <c r="K777" s="5">
        <v>43600</v>
      </c>
      <c r="L777" s="5">
        <v>43567</v>
      </c>
      <c r="M777" s="5">
        <v>43577</v>
      </c>
      <c r="N777" s="6">
        <f t="shared" si="51"/>
        <v>10</v>
      </c>
      <c r="O777" s="4" t="s">
        <v>28</v>
      </c>
      <c r="P777" s="4">
        <v>20405.53</v>
      </c>
      <c r="Q777" s="4"/>
      <c r="R777" s="4" t="str">
        <f t="shared" si="52"/>
        <v>2019</v>
      </c>
      <c r="S777" s="4" t="str">
        <f t="shared" si="53"/>
        <v>April</v>
      </c>
      <c r="T777" s="4">
        <f t="shared" si="54"/>
        <v>20405.53</v>
      </c>
      <c r="U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row>
    <row r="778" spans="1:53" ht="19.95" customHeight="1">
      <c r="A778" s="4">
        <v>777</v>
      </c>
      <c r="B778" s="4" t="s">
        <v>2353</v>
      </c>
      <c r="C778" s="4" t="s">
        <v>65</v>
      </c>
      <c r="D778" s="4"/>
      <c r="E778" s="4" t="s">
        <v>1649</v>
      </c>
      <c r="F778" s="4" t="s">
        <v>23</v>
      </c>
      <c r="G778" s="4" t="s">
        <v>24</v>
      </c>
      <c r="H778" s="4" t="s">
        <v>25</v>
      </c>
      <c r="I778" s="4" t="s">
        <v>2354</v>
      </c>
      <c r="J778" s="4"/>
      <c r="K778" s="5">
        <v>43595</v>
      </c>
      <c r="L778" s="5">
        <v>43557</v>
      </c>
      <c r="M778" s="5">
        <v>43577</v>
      </c>
      <c r="N778" s="6">
        <f t="shared" si="51"/>
        <v>20</v>
      </c>
      <c r="O778" s="4" t="s">
        <v>28</v>
      </c>
      <c r="P778" s="4">
        <v>20597</v>
      </c>
      <c r="Q778" s="4"/>
      <c r="R778" s="4" t="str">
        <f t="shared" si="52"/>
        <v>2019</v>
      </c>
      <c r="S778" s="4" t="str">
        <f t="shared" si="53"/>
        <v>April</v>
      </c>
      <c r="T778" s="4">
        <f t="shared" si="54"/>
        <v>20597</v>
      </c>
      <c r="U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row>
    <row r="779" spans="1:53" ht="19.95" customHeight="1">
      <c r="A779" s="4">
        <v>778</v>
      </c>
      <c r="B779" s="4" t="s">
        <v>2355</v>
      </c>
      <c r="C779" s="4" t="s">
        <v>20</v>
      </c>
      <c r="D779" s="4"/>
      <c r="E779" s="4" t="s">
        <v>1523</v>
      </c>
      <c r="F779" s="4" t="s">
        <v>23</v>
      </c>
      <c r="G779" s="4" t="s">
        <v>24</v>
      </c>
      <c r="H779" s="4" t="s">
        <v>25</v>
      </c>
      <c r="I779" s="4" t="s">
        <v>1887</v>
      </c>
      <c r="J779" s="4" t="s">
        <v>2356</v>
      </c>
      <c r="K779" s="5">
        <v>43595</v>
      </c>
      <c r="L779" s="5">
        <v>43580</v>
      </c>
      <c r="M779" s="5">
        <v>43580</v>
      </c>
      <c r="N779" s="6">
        <f t="shared" si="51"/>
        <v>0</v>
      </c>
      <c r="O779" s="4" t="s">
        <v>28</v>
      </c>
      <c r="P779" s="4">
        <v>292.5</v>
      </c>
      <c r="Q779" s="4"/>
      <c r="R779" s="4" t="str">
        <f t="shared" si="52"/>
        <v>2019</v>
      </c>
      <c r="S779" s="4" t="str">
        <f t="shared" si="53"/>
        <v>April</v>
      </c>
      <c r="T779" s="4">
        <f t="shared" si="54"/>
        <v>292.5</v>
      </c>
      <c r="U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row>
    <row r="780" spans="1:53" ht="19.95" customHeight="1">
      <c r="A780" s="4">
        <v>779</v>
      </c>
      <c r="B780" s="4" t="s">
        <v>2357</v>
      </c>
      <c r="C780" s="4" t="s">
        <v>20</v>
      </c>
      <c r="D780" s="4"/>
      <c r="E780" s="4" t="s">
        <v>1523</v>
      </c>
      <c r="F780" s="4" t="s">
        <v>48</v>
      </c>
      <c r="G780" s="4" t="s">
        <v>24</v>
      </c>
      <c r="H780" s="4" t="s">
        <v>49</v>
      </c>
      <c r="I780" s="4" t="s">
        <v>2358</v>
      </c>
      <c r="J780" s="4" t="s">
        <v>2359</v>
      </c>
      <c r="K780" s="5">
        <v>43595</v>
      </c>
      <c r="L780" s="5">
        <v>43570</v>
      </c>
      <c r="M780" s="5">
        <v>43573</v>
      </c>
      <c r="N780" s="6">
        <f t="shared" si="51"/>
        <v>3</v>
      </c>
      <c r="O780" s="4" t="s">
        <v>28</v>
      </c>
      <c r="P780" s="4">
        <v>768</v>
      </c>
      <c r="Q780" s="4"/>
      <c r="R780" s="4" t="str">
        <f t="shared" si="52"/>
        <v>2019</v>
      </c>
      <c r="S780" s="4" t="str">
        <f t="shared" si="53"/>
        <v>April</v>
      </c>
      <c r="T780" s="4">
        <f t="shared" si="54"/>
        <v>768</v>
      </c>
      <c r="U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row>
    <row r="781" spans="1:53" ht="19.95" customHeight="1">
      <c r="A781" s="4">
        <v>780</v>
      </c>
      <c r="B781" s="4" t="s">
        <v>2360</v>
      </c>
      <c r="C781" s="4" t="s">
        <v>20</v>
      </c>
      <c r="D781" s="4"/>
      <c r="E781" s="4" t="s">
        <v>1523</v>
      </c>
      <c r="F781" s="4" t="s">
        <v>48</v>
      </c>
      <c r="G781" s="4" t="s">
        <v>24</v>
      </c>
      <c r="H781" s="4" t="s">
        <v>49</v>
      </c>
      <c r="I781" s="4" t="s">
        <v>2361</v>
      </c>
      <c r="J781" s="4" t="s">
        <v>2362</v>
      </c>
      <c r="K781" s="5">
        <v>43595</v>
      </c>
      <c r="L781" s="5">
        <v>43569</v>
      </c>
      <c r="M781" s="5">
        <v>43569</v>
      </c>
      <c r="N781" s="6">
        <f t="shared" si="51"/>
        <v>0</v>
      </c>
      <c r="O781" s="4" t="s">
        <v>28</v>
      </c>
      <c r="P781" s="4">
        <v>684</v>
      </c>
      <c r="Q781" s="4"/>
      <c r="R781" s="4" t="str">
        <f t="shared" si="52"/>
        <v>2019</v>
      </c>
      <c r="S781" s="4" t="str">
        <f t="shared" si="53"/>
        <v>April</v>
      </c>
      <c r="T781" s="4">
        <f t="shared" si="54"/>
        <v>684</v>
      </c>
      <c r="U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row>
    <row r="782" spans="1:53" ht="19.95" customHeight="1">
      <c r="A782" s="4">
        <v>781</v>
      </c>
      <c r="B782" s="4" t="s">
        <v>2363</v>
      </c>
      <c r="C782" s="4" t="s">
        <v>20</v>
      </c>
      <c r="D782" s="4"/>
      <c r="E782" s="4" t="s">
        <v>1523</v>
      </c>
      <c r="F782" s="4" t="s">
        <v>48</v>
      </c>
      <c r="G782" s="4" t="s">
        <v>24</v>
      </c>
      <c r="H782" s="4" t="s">
        <v>49</v>
      </c>
      <c r="I782" s="4" t="s">
        <v>2364</v>
      </c>
      <c r="J782" s="4" t="s">
        <v>2365</v>
      </c>
      <c r="K782" s="5">
        <v>43595</v>
      </c>
      <c r="L782" s="5">
        <v>43562</v>
      </c>
      <c r="M782" s="5">
        <v>43579</v>
      </c>
      <c r="N782" s="6">
        <f t="shared" si="51"/>
        <v>17</v>
      </c>
      <c r="O782" s="4" t="s">
        <v>28</v>
      </c>
      <c r="P782" s="4">
        <v>568</v>
      </c>
      <c r="Q782" s="4"/>
      <c r="R782" s="4" t="str">
        <f t="shared" si="52"/>
        <v>2019</v>
      </c>
      <c r="S782" s="4" t="str">
        <f t="shared" si="53"/>
        <v>April</v>
      </c>
      <c r="T782" s="4">
        <f t="shared" si="54"/>
        <v>568</v>
      </c>
      <c r="U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row>
    <row r="783" spans="1:53" ht="19.95" customHeight="1">
      <c r="A783" s="4">
        <v>782</v>
      </c>
      <c r="B783" s="4" t="s">
        <v>2366</v>
      </c>
      <c r="C783" s="4" t="s">
        <v>20</v>
      </c>
      <c r="D783" s="4"/>
      <c r="E783" s="4" t="s">
        <v>1523</v>
      </c>
      <c r="F783" s="4" t="s">
        <v>48</v>
      </c>
      <c r="G783" s="4" t="s">
        <v>24</v>
      </c>
      <c r="H783" s="4" t="s">
        <v>49</v>
      </c>
      <c r="I783" s="4" t="s">
        <v>2367</v>
      </c>
      <c r="J783" s="4" t="s">
        <v>2368</v>
      </c>
      <c r="K783" s="5">
        <v>43595</v>
      </c>
      <c r="L783" s="5">
        <v>43571</v>
      </c>
      <c r="M783" s="5">
        <v>43571</v>
      </c>
      <c r="N783" s="6">
        <f t="shared" si="51"/>
        <v>0</v>
      </c>
      <c r="O783" s="4" t="s">
        <v>28</v>
      </c>
      <c r="P783" s="4">
        <v>425</v>
      </c>
      <c r="Q783" s="4"/>
      <c r="R783" s="4" t="str">
        <f t="shared" si="52"/>
        <v>2019</v>
      </c>
      <c r="S783" s="4" t="str">
        <f t="shared" si="53"/>
        <v>April</v>
      </c>
      <c r="T783" s="4">
        <f t="shared" si="54"/>
        <v>425</v>
      </c>
      <c r="U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row>
    <row r="784" spans="1:53" ht="19.95" customHeight="1">
      <c r="A784" s="4">
        <v>783</v>
      </c>
      <c r="B784" s="4" t="s">
        <v>2369</v>
      </c>
      <c r="C784" s="4" t="s">
        <v>20</v>
      </c>
      <c r="D784" s="4"/>
      <c r="E784" s="4" t="s">
        <v>1523</v>
      </c>
      <c r="F784" s="4" t="s">
        <v>48</v>
      </c>
      <c r="G784" s="4" t="s">
        <v>24</v>
      </c>
      <c r="H784" s="4" t="s">
        <v>49</v>
      </c>
      <c r="I784" s="4" t="s">
        <v>2370</v>
      </c>
      <c r="J784" s="4" t="s">
        <v>2368</v>
      </c>
      <c r="K784" s="5">
        <v>43595</v>
      </c>
      <c r="L784" s="5">
        <v>43571</v>
      </c>
      <c r="M784" s="5">
        <v>43571</v>
      </c>
      <c r="N784" s="6">
        <f t="shared" si="51"/>
        <v>0</v>
      </c>
      <c r="O784" s="4" t="s">
        <v>28</v>
      </c>
      <c r="P784" s="4">
        <v>472</v>
      </c>
      <c r="Q784" s="4"/>
      <c r="R784" s="4" t="str">
        <f t="shared" si="52"/>
        <v>2019</v>
      </c>
      <c r="S784" s="4" t="str">
        <f t="shared" si="53"/>
        <v>April</v>
      </c>
      <c r="T784" s="4">
        <f t="shared" si="54"/>
        <v>472</v>
      </c>
      <c r="U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row>
    <row r="785" spans="1:53" ht="19.95" customHeight="1">
      <c r="A785" s="4">
        <v>784</v>
      </c>
      <c r="B785" s="4" t="s">
        <v>2371</v>
      </c>
      <c r="C785" s="4" t="s">
        <v>20</v>
      </c>
      <c r="D785" s="4"/>
      <c r="E785" s="4" t="s">
        <v>1523</v>
      </c>
      <c r="F785" s="4" t="s">
        <v>23</v>
      </c>
      <c r="G785" s="4" t="s">
        <v>24</v>
      </c>
      <c r="H785" s="4" t="s">
        <v>25</v>
      </c>
      <c r="I785" s="4" t="s">
        <v>2372</v>
      </c>
      <c r="J785" s="4" t="s">
        <v>2373</v>
      </c>
      <c r="K785" s="5">
        <v>43595</v>
      </c>
      <c r="L785" s="5">
        <v>43569</v>
      </c>
      <c r="M785" s="5">
        <v>43569</v>
      </c>
      <c r="N785" s="6">
        <f t="shared" si="51"/>
        <v>0</v>
      </c>
      <c r="O785" s="4" t="s">
        <v>28</v>
      </c>
      <c r="P785" s="4">
        <v>527</v>
      </c>
      <c r="Q785" s="4"/>
      <c r="R785" s="4" t="str">
        <f t="shared" si="52"/>
        <v>2019</v>
      </c>
      <c r="S785" s="4" t="str">
        <f t="shared" si="53"/>
        <v>April</v>
      </c>
      <c r="T785" s="4">
        <f t="shared" si="54"/>
        <v>527</v>
      </c>
      <c r="U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row>
    <row r="786" spans="1:53" ht="19.95" customHeight="1">
      <c r="A786" s="4">
        <v>785</v>
      </c>
      <c r="B786" s="4" t="s">
        <v>2374</v>
      </c>
      <c r="C786" s="4" t="s">
        <v>20</v>
      </c>
      <c r="D786" s="4"/>
      <c r="E786" s="4" t="s">
        <v>1523</v>
      </c>
      <c r="F786" s="4" t="s">
        <v>2375</v>
      </c>
      <c r="G786" s="4" t="s">
        <v>24</v>
      </c>
      <c r="H786" s="4" t="s">
        <v>2376</v>
      </c>
      <c r="I786" s="4" t="s">
        <v>2377</v>
      </c>
      <c r="J786" s="4" t="s">
        <v>2378</v>
      </c>
      <c r="K786" s="5">
        <v>43595</v>
      </c>
      <c r="L786" s="5">
        <v>43568</v>
      </c>
      <c r="M786" s="5">
        <v>43568</v>
      </c>
      <c r="N786" s="6">
        <f t="shared" si="51"/>
        <v>0</v>
      </c>
      <c r="O786" s="4" t="s">
        <v>28</v>
      </c>
      <c r="P786" s="4">
        <v>520</v>
      </c>
      <c r="Q786" s="4"/>
      <c r="R786" s="4" t="str">
        <f t="shared" si="52"/>
        <v>2019</v>
      </c>
      <c r="S786" s="4" t="str">
        <f t="shared" si="53"/>
        <v>April</v>
      </c>
      <c r="T786" s="4">
        <f t="shared" si="54"/>
        <v>520</v>
      </c>
      <c r="U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row>
    <row r="787" spans="1:53" ht="19.95" customHeight="1">
      <c r="A787" s="4">
        <v>786</v>
      </c>
      <c r="B787" s="4" t="s">
        <v>2379</v>
      </c>
      <c r="C787" s="4" t="s">
        <v>20</v>
      </c>
      <c r="D787" s="4"/>
      <c r="E787" s="4" t="s">
        <v>1523</v>
      </c>
      <c r="F787" s="4" t="s">
        <v>23</v>
      </c>
      <c r="G787" s="4" t="s">
        <v>24</v>
      </c>
      <c r="H787" s="4" t="s">
        <v>25</v>
      </c>
      <c r="I787" s="4" t="s">
        <v>2380</v>
      </c>
      <c r="J787" s="4" t="s">
        <v>2381</v>
      </c>
      <c r="K787" s="5">
        <v>43595</v>
      </c>
      <c r="L787" s="5">
        <v>43567</v>
      </c>
      <c r="M787" s="5">
        <v>43567</v>
      </c>
      <c r="N787" s="6">
        <f t="shared" si="51"/>
        <v>0</v>
      </c>
      <c r="O787" s="4" t="s">
        <v>28</v>
      </c>
      <c r="P787" s="4">
        <v>345</v>
      </c>
      <c r="Q787" s="4"/>
      <c r="R787" s="4" t="str">
        <f t="shared" si="52"/>
        <v>2019</v>
      </c>
      <c r="S787" s="4" t="str">
        <f t="shared" si="53"/>
        <v>April</v>
      </c>
      <c r="T787" s="4">
        <f t="shared" si="54"/>
        <v>345</v>
      </c>
      <c r="U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row>
    <row r="788" spans="1:53" ht="19.95" customHeight="1">
      <c r="A788" s="4">
        <v>787</v>
      </c>
      <c r="B788" s="4" t="s">
        <v>2382</v>
      </c>
      <c r="C788" s="4" t="s">
        <v>20</v>
      </c>
      <c r="D788" s="4"/>
      <c r="E788" s="4" t="s">
        <v>1523</v>
      </c>
      <c r="F788" s="4" t="s">
        <v>23</v>
      </c>
      <c r="G788" s="4" t="s">
        <v>24</v>
      </c>
      <c r="H788" s="4" t="s">
        <v>25</v>
      </c>
      <c r="I788" s="4" t="s">
        <v>2383</v>
      </c>
      <c r="J788" s="4" t="s">
        <v>2384</v>
      </c>
      <c r="K788" s="5">
        <v>43595</v>
      </c>
      <c r="L788" s="5">
        <v>43564</v>
      </c>
      <c r="M788" s="5">
        <v>43564</v>
      </c>
      <c r="N788" s="6">
        <f t="shared" si="51"/>
        <v>0</v>
      </c>
      <c r="O788" s="4" t="s">
        <v>28</v>
      </c>
      <c r="P788" s="4">
        <v>938</v>
      </c>
      <c r="Q788" s="4"/>
      <c r="R788" s="4" t="str">
        <f t="shared" si="52"/>
        <v>2019</v>
      </c>
      <c r="S788" s="4" t="str">
        <f t="shared" si="53"/>
        <v>April</v>
      </c>
      <c r="T788" s="4">
        <f t="shared" si="54"/>
        <v>938</v>
      </c>
      <c r="U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row>
    <row r="789" spans="1:53" ht="19.95" customHeight="1">
      <c r="A789" s="4">
        <v>788</v>
      </c>
      <c r="B789" s="4" t="s">
        <v>2385</v>
      </c>
      <c r="C789" s="4" t="s">
        <v>20</v>
      </c>
      <c r="D789" s="4"/>
      <c r="E789" s="4" t="s">
        <v>1523</v>
      </c>
      <c r="F789" s="4" t="s">
        <v>23</v>
      </c>
      <c r="G789" s="4" t="s">
        <v>24</v>
      </c>
      <c r="H789" s="4" t="s">
        <v>25</v>
      </c>
      <c r="I789" s="4" t="s">
        <v>2386</v>
      </c>
      <c r="J789" s="4" t="s">
        <v>2387</v>
      </c>
      <c r="K789" s="5">
        <v>43595</v>
      </c>
      <c r="L789" s="5">
        <v>43590</v>
      </c>
      <c r="M789" s="5">
        <v>43590</v>
      </c>
      <c r="N789" s="6">
        <f t="shared" si="51"/>
        <v>0</v>
      </c>
      <c r="O789" s="4" t="s">
        <v>28</v>
      </c>
      <c r="P789" s="4">
        <v>1003</v>
      </c>
      <c r="Q789" s="4"/>
      <c r="R789" s="4" t="str">
        <f t="shared" si="52"/>
        <v>2019</v>
      </c>
      <c r="S789" s="4" t="str">
        <f t="shared" si="53"/>
        <v>May</v>
      </c>
      <c r="T789" s="4">
        <f t="shared" si="54"/>
        <v>1003</v>
      </c>
      <c r="U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row>
    <row r="790" spans="1:53" ht="19.95" customHeight="1">
      <c r="A790" s="4">
        <v>789</v>
      </c>
      <c r="B790" s="4" t="s">
        <v>2388</v>
      </c>
      <c r="C790" s="4" t="s">
        <v>20</v>
      </c>
      <c r="D790" s="4"/>
      <c r="E790" s="4" t="s">
        <v>1618</v>
      </c>
      <c r="F790" s="4" t="s">
        <v>23</v>
      </c>
      <c r="G790" s="4" t="s">
        <v>24</v>
      </c>
      <c r="H790" s="4" t="s">
        <v>25</v>
      </c>
      <c r="I790" s="4" t="s">
        <v>2389</v>
      </c>
      <c r="J790" s="4" t="s">
        <v>2390</v>
      </c>
      <c r="K790" s="5">
        <v>43593</v>
      </c>
      <c r="L790" s="5">
        <v>43564</v>
      </c>
      <c r="M790" s="5">
        <v>43580</v>
      </c>
      <c r="N790" s="6">
        <f t="shared" si="51"/>
        <v>16</v>
      </c>
      <c r="O790" s="4" t="s">
        <v>28</v>
      </c>
      <c r="P790" s="4">
        <v>1572.44</v>
      </c>
      <c r="Q790" s="4"/>
      <c r="R790" s="4" t="str">
        <f t="shared" si="52"/>
        <v>2019</v>
      </c>
      <c r="S790" s="4" t="str">
        <f t="shared" si="53"/>
        <v>April</v>
      </c>
      <c r="T790" s="4">
        <f t="shared" si="54"/>
        <v>1572.44</v>
      </c>
      <c r="U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row>
    <row r="791" spans="1:53" ht="19.95" customHeight="1">
      <c r="A791" s="4">
        <v>790</v>
      </c>
      <c r="B791" s="4" t="s">
        <v>2391</v>
      </c>
      <c r="C791" s="4" t="s">
        <v>65</v>
      </c>
      <c r="D791" s="4"/>
      <c r="E791" s="4" t="s">
        <v>1851</v>
      </c>
      <c r="F791" s="4" t="s">
        <v>589</v>
      </c>
      <c r="G791" s="4" t="s">
        <v>24</v>
      </c>
      <c r="H791" s="4" t="s">
        <v>346</v>
      </c>
      <c r="I791" s="4" t="s">
        <v>2392</v>
      </c>
      <c r="J791" s="4" t="s">
        <v>2393</v>
      </c>
      <c r="K791" s="5">
        <v>43579</v>
      </c>
      <c r="L791" s="5">
        <v>43668</v>
      </c>
      <c r="M791" s="5">
        <v>43679</v>
      </c>
      <c r="N791" s="6">
        <f t="shared" si="51"/>
        <v>11</v>
      </c>
      <c r="O791" s="4" t="s">
        <v>28</v>
      </c>
      <c r="P791" s="4">
        <v>11494</v>
      </c>
      <c r="Q791" s="4"/>
      <c r="R791" s="4" t="str">
        <f t="shared" si="52"/>
        <v>2019</v>
      </c>
      <c r="S791" s="4" t="str">
        <f t="shared" si="53"/>
        <v>July</v>
      </c>
      <c r="T791" s="4">
        <f t="shared" si="54"/>
        <v>11494</v>
      </c>
      <c r="U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row>
    <row r="792" spans="1:53" ht="19.95" customHeight="1">
      <c r="A792" s="4">
        <v>791</v>
      </c>
      <c r="B792" s="4" t="s">
        <v>2394</v>
      </c>
      <c r="C792" s="4" t="s">
        <v>20</v>
      </c>
      <c r="D792" s="4"/>
      <c r="E792" s="4" t="s">
        <v>1523</v>
      </c>
      <c r="F792" s="4" t="s">
        <v>23</v>
      </c>
      <c r="G792" s="4" t="s">
        <v>24</v>
      </c>
      <c r="H792" s="4" t="s">
        <v>25</v>
      </c>
      <c r="I792" s="4" t="s">
        <v>2395</v>
      </c>
      <c r="J792" s="4" t="s">
        <v>2396</v>
      </c>
      <c r="K792" s="5">
        <v>43574</v>
      </c>
      <c r="L792" s="5">
        <v>43682</v>
      </c>
      <c r="M792" s="5">
        <v>43685</v>
      </c>
      <c r="N792" s="6">
        <f t="shared" si="51"/>
        <v>3</v>
      </c>
      <c r="O792" s="4" t="s">
        <v>28</v>
      </c>
      <c r="P792" s="4">
        <v>510</v>
      </c>
      <c r="Q792" s="4"/>
      <c r="R792" s="4" t="str">
        <f t="shared" si="52"/>
        <v>2019</v>
      </c>
      <c r="S792" s="4" t="str">
        <f t="shared" si="53"/>
        <v>August</v>
      </c>
      <c r="T792" s="4">
        <f t="shared" si="54"/>
        <v>510</v>
      </c>
      <c r="U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row>
    <row r="793" spans="1:53" ht="19.95" customHeight="1">
      <c r="A793" s="4">
        <v>792</v>
      </c>
      <c r="B793" s="4" t="s">
        <v>2397</v>
      </c>
      <c r="C793" s="4" t="s">
        <v>20</v>
      </c>
      <c r="D793" s="4"/>
      <c r="E793" s="4" t="s">
        <v>1523</v>
      </c>
      <c r="F793" s="4" t="s">
        <v>285</v>
      </c>
      <c r="G793" s="4" t="s">
        <v>24</v>
      </c>
      <c r="H793" s="4" t="s">
        <v>286</v>
      </c>
      <c r="I793" s="4" t="s">
        <v>2398</v>
      </c>
      <c r="J793" s="4" t="s">
        <v>2399</v>
      </c>
      <c r="K793" s="5">
        <v>43573</v>
      </c>
      <c r="L793" s="5">
        <v>43779</v>
      </c>
      <c r="M793" s="5">
        <v>43784</v>
      </c>
      <c r="N793" s="6">
        <f t="shared" si="51"/>
        <v>5</v>
      </c>
      <c r="O793" s="4" t="s">
        <v>28</v>
      </c>
      <c r="P793" s="4">
        <v>335</v>
      </c>
      <c r="Q793" s="4"/>
      <c r="R793" s="4" t="str">
        <f t="shared" si="52"/>
        <v>2019</v>
      </c>
      <c r="S793" s="4" t="str">
        <f t="shared" si="53"/>
        <v>November</v>
      </c>
      <c r="T793" s="4">
        <f t="shared" si="54"/>
        <v>335</v>
      </c>
      <c r="U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row>
    <row r="794" spans="1:53" ht="19.95" customHeight="1">
      <c r="A794" s="4">
        <v>793</v>
      </c>
      <c r="B794" s="4" t="s">
        <v>2400</v>
      </c>
      <c r="C794" s="4" t="s">
        <v>20</v>
      </c>
      <c r="D794" s="4"/>
      <c r="E794" s="4" t="s">
        <v>1523</v>
      </c>
      <c r="F794" s="4" t="s">
        <v>23</v>
      </c>
      <c r="G794" s="4" t="s">
        <v>24</v>
      </c>
      <c r="H794" s="4" t="s">
        <v>25</v>
      </c>
      <c r="I794" s="4" t="s">
        <v>2401</v>
      </c>
      <c r="J794" s="4" t="s">
        <v>2402</v>
      </c>
      <c r="K794" s="5">
        <v>43567</v>
      </c>
      <c r="L794" s="5">
        <v>43574</v>
      </c>
      <c r="M794" s="5">
        <v>43574</v>
      </c>
      <c r="N794" s="6">
        <f t="shared" si="51"/>
        <v>0</v>
      </c>
      <c r="O794" s="4" t="s">
        <v>28</v>
      </c>
      <c r="P794" s="4">
        <v>649</v>
      </c>
      <c r="Q794" s="4"/>
      <c r="R794" s="4" t="str">
        <f t="shared" si="52"/>
        <v>2019</v>
      </c>
      <c r="S794" s="4" t="str">
        <f t="shared" si="53"/>
        <v>April</v>
      </c>
      <c r="T794" s="4">
        <f t="shared" si="54"/>
        <v>649</v>
      </c>
      <c r="U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row>
    <row r="795" spans="1:53" ht="19.95" customHeight="1">
      <c r="A795" s="4">
        <v>794</v>
      </c>
      <c r="B795" s="4" t="s">
        <v>2403</v>
      </c>
      <c r="C795" s="4" t="s">
        <v>20</v>
      </c>
      <c r="D795" s="4"/>
      <c r="E795" s="4" t="s">
        <v>2326</v>
      </c>
      <c r="F795" s="4" t="s">
        <v>48</v>
      </c>
      <c r="G795" s="4" t="s">
        <v>24</v>
      </c>
      <c r="H795" s="4" t="s">
        <v>49</v>
      </c>
      <c r="I795" s="4" t="s">
        <v>2404</v>
      </c>
      <c r="J795" s="4" t="s">
        <v>2405</v>
      </c>
      <c r="K795" s="5">
        <v>43566</v>
      </c>
      <c r="L795" s="5">
        <v>43659</v>
      </c>
      <c r="M795" s="5">
        <v>43665</v>
      </c>
      <c r="N795" s="6">
        <f t="shared" si="51"/>
        <v>6</v>
      </c>
      <c r="O795" s="4" t="s">
        <v>28</v>
      </c>
      <c r="P795" s="4">
        <v>2598</v>
      </c>
      <c r="Q795" s="4"/>
      <c r="R795" s="4" t="str">
        <f t="shared" si="52"/>
        <v>2019</v>
      </c>
      <c r="S795" s="4" t="str">
        <f t="shared" si="53"/>
        <v>July</v>
      </c>
      <c r="T795" s="4">
        <f t="shared" si="54"/>
        <v>2598</v>
      </c>
      <c r="U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row>
    <row r="796" spans="1:53" ht="19.95" customHeight="1">
      <c r="A796" s="4">
        <v>795</v>
      </c>
      <c r="B796" s="4" t="s">
        <v>2406</v>
      </c>
      <c r="C796" s="4" t="s">
        <v>20</v>
      </c>
      <c r="D796" s="4"/>
      <c r="E796" s="4" t="s">
        <v>1523</v>
      </c>
      <c r="F796" s="4" t="s">
        <v>23</v>
      </c>
      <c r="G796" s="4" t="s">
        <v>24</v>
      </c>
      <c r="H796" s="4" t="s">
        <v>25</v>
      </c>
      <c r="I796" s="4" t="s">
        <v>2407</v>
      </c>
      <c r="J796" s="4" t="s">
        <v>2408</v>
      </c>
      <c r="K796" s="5">
        <v>43564</v>
      </c>
      <c r="L796" s="5">
        <v>43568</v>
      </c>
      <c r="M796" s="5">
        <v>43568</v>
      </c>
      <c r="N796" s="6">
        <f t="shared" ref="N796:N806" si="55">M796-L796</f>
        <v>0</v>
      </c>
      <c r="O796" s="4" t="s">
        <v>28</v>
      </c>
      <c r="P796" s="4">
        <v>89</v>
      </c>
      <c r="Q796" s="4"/>
      <c r="R796" s="4" t="str">
        <f t="shared" si="52"/>
        <v>2019</v>
      </c>
      <c r="S796" s="4" t="str">
        <f t="shared" si="53"/>
        <v>April</v>
      </c>
      <c r="T796" s="4">
        <f t="shared" si="54"/>
        <v>89</v>
      </c>
      <c r="U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row>
    <row r="797" spans="1:53">
      <c r="A797" s="4">
        <v>796</v>
      </c>
      <c r="B797" s="4" t="s">
        <v>2409</v>
      </c>
      <c r="C797" s="4" t="s">
        <v>20</v>
      </c>
      <c r="D797" s="4"/>
      <c r="E797" s="4" t="s">
        <v>1124</v>
      </c>
      <c r="F797" s="4" t="s">
        <v>23</v>
      </c>
      <c r="G797" s="4" t="s">
        <v>24</v>
      </c>
      <c r="H797" s="4" t="s">
        <v>25</v>
      </c>
      <c r="I797" s="4" t="s">
        <v>2410</v>
      </c>
      <c r="J797" s="4" t="s">
        <v>2411</v>
      </c>
      <c r="K797" s="5">
        <v>43564</v>
      </c>
      <c r="L797" s="5">
        <v>43819</v>
      </c>
      <c r="M797" s="5">
        <v>43827</v>
      </c>
      <c r="N797" s="6">
        <f t="shared" si="55"/>
        <v>8</v>
      </c>
      <c r="O797" s="4" t="s">
        <v>28</v>
      </c>
      <c r="P797" s="4">
        <v>31543.01</v>
      </c>
      <c r="Q797" s="4"/>
      <c r="R797" s="4" t="str">
        <f t="shared" si="52"/>
        <v>2019</v>
      </c>
      <c r="S797" s="4" t="str">
        <f t="shared" si="53"/>
        <v>December</v>
      </c>
      <c r="T797" s="4">
        <f t="shared" si="54"/>
        <v>31543.01</v>
      </c>
    </row>
    <row r="798" spans="1:53">
      <c r="A798" s="4">
        <v>797</v>
      </c>
      <c r="B798" s="4" t="s">
        <v>2412</v>
      </c>
      <c r="C798" s="4" t="s">
        <v>65</v>
      </c>
      <c r="D798" s="4"/>
      <c r="E798" s="4" t="s">
        <v>1934</v>
      </c>
      <c r="F798" s="4" t="s">
        <v>48</v>
      </c>
      <c r="G798" s="4" t="s">
        <v>24</v>
      </c>
      <c r="H798" s="4" t="s">
        <v>49</v>
      </c>
      <c r="I798" s="4" t="s">
        <v>2413</v>
      </c>
      <c r="J798" s="4" t="s">
        <v>2414</v>
      </c>
      <c r="K798" s="5">
        <v>43564</v>
      </c>
      <c r="L798" s="5">
        <v>43637</v>
      </c>
      <c r="M798" s="5">
        <v>43653</v>
      </c>
      <c r="N798" s="6">
        <f t="shared" si="55"/>
        <v>16</v>
      </c>
      <c r="O798" s="4" t="s">
        <v>28</v>
      </c>
      <c r="P798" s="4">
        <v>5845.01</v>
      </c>
      <c r="Q798" s="4"/>
      <c r="R798" s="4" t="str">
        <f t="shared" si="52"/>
        <v>2019</v>
      </c>
      <c r="S798" s="4" t="str">
        <f t="shared" si="53"/>
        <v>June</v>
      </c>
      <c r="T798" s="4">
        <f t="shared" si="54"/>
        <v>5845.01</v>
      </c>
    </row>
    <row r="799" spans="1:53">
      <c r="A799" s="4">
        <v>798</v>
      </c>
      <c r="B799" s="4" t="s">
        <v>2415</v>
      </c>
      <c r="C799" s="4" t="s">
        <v>20</v>
      </c>
      <c r="D799" s="4"/>
      <c r="E799" s="4" t="s">
        <v>2326</v>
      </c>
      <c r="F799" s="4" t="s">
        <v>23</v>
      </c>
      <c r="G799" s="4" t="s">
        <v>24</v>
      </c>
      <c r="H799" s="4" t="s">
        <v>25</v>
      </c>
      <c r="I799" s="4" t="s">
        <v>2416</v>
      </c>
      <c r="J799" s="4" t="s">
        <v>2417</v>
      </c>
      <c r="K799" s="5">
        <v>43563</v>
      </c>
      <c r="L799" s="5">
        <v>43876</v>
      </c>
      <c r="M799" s="5">
        <v>43895</v>
      </c>
      <c r="N799" s="6">
        <f t="shared" si="55"/>
        <v>19</v>
      </c>
      <c r="O799" s="4" t="s">
        <v>28</v>
      </c>
      <c r="P799" s="4">
        <v>18801.990000000002</v>
      </c>
      <c r="Q799" s="4"/>
      <c r="R799" s="4" t="str">
        <f t="shared" si="52"/>
        <v>2020</v>
      </c>
      <c r="S799" s="4" t="str">
        <f t="shared" si="53"/>
        <v>February</v>
      </c>
      <c r="T799" s="4">
        <f t="shared" si="54"/>
        <v>18801.990000000002</v>
      </c>
    </row>
    <row r="800" spans="1:53">
      <c r="A800" s="4">
        <v>799</v>
      </c>
      <c r="B800" s="4" t="s">
        <v>2418</v>
      </c>
      <c r="C800" s="4" t="s">
        <v>20</v>
      </c>
      <c r="D800" s="4"/>
      <c r="E800" s="4" t="s">
        <v>1523</v>
      </c>
      <c r="F800" s="4" t="s">
        <v>23</v>
      </c>
      <c r="G800" s="4" t="s">
        <v>24</v>
      </c>
      <c r="H800" s="4" t="s">
        <v>25</v>
      </c>
      <c r="I800" s="4" t="s">
        <v>2419</v>
      </c>
      <c r="J800" s="4" t="s">
        <v>2420</v>
      </c>
      <c r="K800" s="5">
        <v>43561</v>
      </c>
      <c r="L800" s="5">
        <v>43564</v>
      </c>
      <c r="M800" s="5">
        <v>43564</v>
      </c>
      <c r="N800" s="6">
        <f t="shared" si="55"/>
        <v>0</v>
      </c>
      <c r="O800" s="4" t="s">
        <v>28</v>
      </c>
      <c r="P800" s="4">
        <v>410</v>
      </c>
      <c r="Q800" s="4"/>
      <c r="R800" s="4" t="str">
        <f t="shared" si="52"/>
        <v>2019</v>
      </c>
      <c r="S800" s="4" t="str">
        <f t="shared" si="53"/>
        <v>April</v>
      </c>
      <c r="T800" s="4">
        <f t="shared" si="54"/>
        <v>410</v>
      </c>
    </row>
    <row r="801" spans="1:20">
      <c r="A801" s="4">
        <v>800</v>
      </c>
      <c r="B801" s="4" t="s">
        <v>2421</v>
      </c>
      <c r="C801" s="4" t="s">
        <v>20</v>
      </c>
      <c r="D801" s="4"/>
      <c r="E801" s="4" t="s">
        <v>2326</v>
      </c>
      <c r="F801" s="4" t="s">
        <v>2422</v>
      </c>
      <c r="G801" s="4" t="s">
        <v>24</v>
      </c>
      <c r="H801" s="4" t="s">
        <v>2423</v>
      </c>
      <c r="I801" s="4" t="s">
        <v>2424</v>
      </c>
      <c r="J801" s="4" t="s">
        <v>2425</v>
      </c>
      <c r="K801" s="5">
        <v>43560</v>
      </c>
      <c r="L801" s="5">
        <v>43578</v>
      </c>
      <c r="M801" s="5">
        <v>43579</v>
      </c>
      <c r="N801" s="6">
        <f t="shared" si="55"/>
        <v>1</v>
      </c>
      <c r="O801" s="4" t="s">
        <v>28</v>
      </c>
      <c r="P801" s="4">
        <v>118</v>
      </c>
      <c r="Q801" s="4"/>
      <c r="R801" s="4" t="str">
        <f t="shared" si="52"/>
        <v>2019</v>
      </c>
      <c r="S801" s="4" t="str">
        <f t="shared" si="53"/>
        <v>April</v>
      </c>
      <c r="T801" s="4">
        <f t="shared" si="54"/>
        <v>118</v>
      </c>
    </row>
    <row r="802" spans="1:20">
      <c r="A802" s="4">
        <v>801</v>
      </c>
      <c r="B802" s="4" t="s">
        <v>2426</v>
      </c>
      <c r="C802" s="4" t="s">
        <v>20</v>
      </c>
      <c r="D802" s="4"/>
      <c r="E802" s="4" t="s">
        <v>1124</v>
      </c>
      <c r="F802" s="4" t="s">
        <v>23</v>
      </c>
      <c r="G802" s="4" t="s">
        <v>24</v>
      </c>
      <c r="H802" s="4" t="s">
        <v>25</v>
      </c>
      <c r="I802" s="4" t="s">
        <v>2427</v>
      </c>
      <c r="J802" s="4" t="s">
        <v>2428</v>
      </c>
      <c r="K802" s="5">
        <v>43557</v>
      </c>
      <c r="L802" s="5">
        <v>43682</v>
      </c>
      <c r="M802" s="5">
        <v>43688</v>
      </c>
      <c r="N802" s="6">
        <f t="shared" si="55"/>
        <v>6</v>
      </c>
      <c r="O802" s="4" t="s">
        <v>28</v>
      </c>
      <c r="P802" s="4">
        <v>12596</v>
      </c>
      <c r="Q802" s="4"/>
      <c r="R802" s="4" t="str">
        <f t="shared" si="52"/>
        <v>2019</v>
      </c>
      <c r="S802" s="4" t="str">
        <f t="shared" si="53"/>
        <v>August</v>
      </c>
      <c r="T802" s="4">
        <f t="shared" si="54"/>
        <v>12596</v>
      </c>
    </row>
    <row r="803" spans="1:20">
      <c r="A803" s="4">
        <v>802</v>
      </c>
      <c r="B803" s="4" t="s">
        <v>2429</v>
      </c>
      <c r="C803" s="4" t="s">
        <v>20</v>
      </c>
      <c r="D803" s="4"/>
      <c r="E803" s="4" t="s">
        <v>1523</v>
      </c>
      <c r="F803" s="4" t="s">
        <v>48</v>
      </c>
      <c r="G803" s="4" t="s">
        <v>24</v>
      </c>
      <c r="H803" s="4" t="s">
        <v>49</v>
      </c>
      <c r="I803" s="4" t="s">
        <v>2430</v>
      </c>
      <c r="J803" s="4" t="s">
        <v>2431</v>
      </c>
      <c r="K803" s="5">
        <v>43556</v>
      </c>
      <c r="L803" s="5">
        <v>43575</v>
      </c>
      <c r="M803" s="5">
        <v>43582</v>
      </c>
      <c r="N803" s="6">
        <f t="shared" si="55"/>
        <v>7</v>
      </c>
      <c r="O803" s="4" t="s">
        <v>28</v>
      </c>
      <c r="P803" s="4">
        <v>255</v>
      </c>
      <c r="Q803" s="4"/>
      <c r="R803" s="4" t="str">
        <f t="shared" si="52"/>
        <v>2019</v>
      </c>
      <c r="S803" s="4" t="str">
        <f t="shared" si="53"/>
        <v>April</v>
      </c>
      <c r="T803" s="4">
        <f t="shared" si="54"/>
        <v>255</v>
      </c>
    </row>
    <row r="804" spans="1:20">
      <c r="A804" s="4">
        <v>803</v>
      </c>
      <c r="B804" s="4" t="s">
        <v>2432</v>
      </c>
      <c r="C804" s="4" t="s">
        <v>65</v>
      </c>
      <c r="D804" s="4"/>
      <c r="E804" s="4" t="s">
        <v>1759</v>
      </c>
      <c r="F804" s="4" t="s">
        <v>43</v>
      </c>
      <c r="G804" s="4" t="s">
        <v>24</v>
      </c>
      <c r="H804" s="4" t="s">
        <v>44</v>
      </c>
      <c r="I804" s="4" t="s">
        <v>2433</v>
      </c>
      <c r="J804" s="4" t="s">
        <v>2434</v>
      </c>
      <c r="K804" s="5">
        <v>43556</v>
      </c>
      <c r="L804" s="5">
        <v>43849</v>
      </c>
      <c r="M804" s="5">
        <v>43867</v>
      </c>
      <c r="N804" s="6">
        <f t="shared" si="55"/>
        <v>18</v>
      </c>
      <c r="O804" s="4" t="s">
        <v>28</v>
      </c>
      <c r="P804" s="4">
        <v>29104.63</v>
      </c>
      <c r="Q804" s="4"/>
      <c r="R804" s="4" t="str">
        <f t="shared" si="52"/>
        <v>2020</v>
      </c>
      <c r="S804" s="4" t="str">
        <f t="shared" si="53"/>
        <v>January</v>
      </c>
      <c r="T804" s="4">
        <f t="shared" si="54"/>
        <v>29104.63</v>
      </c>
    </row>
    <row r="805" spans="1:20">
      <c r="A805" s="4">
        <v>804</v>
      </c>
      <c r="B805" s="4" t="s">
        <v>2435</v>
      </c>
      <c r="C805" s="4" t="s">
        <v>65</v>
      </c>
      <c r="D805" s="4"/>
      <c r="E805" s="4" t="s">
        <v>1434</v>
      </c>
      <c r="F805" s="4" t="s">
        <v>77</v>
      </c>
      <c r="G805" s="4" t="s">
        <v>24</v>
      </c>
      <c r="H805" s="4" t="s">
        <v>129</v>
      </c>
      <c r="I805" s="4" t="s">
        <v>2436</v>
      </c>
      <c r="J805" s="4" t="s">
        <v>2437</v>
      </c>
      <c r="K805" s="5">
        <v>43556</v>
      </c>
      <c r="L805" s="5">
        <v>43566</v>
      </c>
      <c r="M805" s="5">
        <v>43577</v>
      </c>
      <c r="N805" s="6">
        <f t="shared" si="55"/>
        <v>11</v>
      </c>
      <c r="O805" s="4" t="s">
        <v>28</v>
      </c>
      <c r="P805" s="4">
        <v>10403.34</v>
      </c>
      <c r="Q805" s="4"/>
      <c r="R805" s="4" t="str">
        <f t="shared" si="52"/>
        <v>2019</v>
      </c>
      <c r="S805" s="4" t="str">
        <f t="shared" si="53"/>
        <v>April</v>
      </c>
      <c r="T805" s="4">
        <f t="shared" si="54"/>
        <v>10403.34</v>
      </c>
    </row>
    <row r="806" spans="1:20">
      <c r="A806" s="4">
        <v>805</v>
      </c>
      <c r="B806" s="4" t="s">
        <v>2438</v>
      </c>
      <c r="C806" s="4" t="s">
        <v>20</v>
      </c>
      <c r="D806" s="4"/>
      <c r="E806" s="4" t="s">
        <v>1523</v>
      </c>
      <c r="F806" s="4" t="s">
        <v>23</v>
      </c>
      <c r="G806" s="4" t="s">
        <v>24</v>
      </c>
      <c r="H806" s="4" t="s">
        <v>25</v>
      </c>
      <c r="I806" s="4" t="s">
        <v>2439</v>
      </c>
      <c r="J806" s="4" t="s">
        <v>2440</v>
      </c>
      <c r="K806" s="5">
        <v>43555</v>
      </c>
      <c r="L806" s="5">
        <v>43557</v>
      </c>
      <c r="M806" s="5">
        <v>43557</v>
      </c>
      <c r="N806" s="6">
        <f t="shared" si="55"/>
        <v>0</v>
      </c>
      <c r="O806" s="4" t="s">
        <v>28</v>
      </c>
      <c r="P806" s="4">
        <v>125</v>
      </c>
      <c r="Q806" s="4"/>
      <c r="R806" s="4" t="str">
        <f t="shared" si="52"/>
        <v>2019</v>
      </c>
      <c r="S806" s="4" t="str">
        <f t="shared" si="53"/>
        <v>April</v>
      </c>
      <c r="T806" s="4">
        <f t="shared" si="54"/>
        <v>125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8"/>
  <sheetViews>
    <sheetView topLeftCell="C1" workbookViewId="0">
      <selection activeCell="D5" sqref="D5"/>
    </sheetView>
  </sheetViews>
  <sheetFormatPr defaultRowHeight="13.8"/>
  <cols>
    <col min="1" max="1" width="4" bestFit="1" customWidth="1"/>
    <col min="2" max="2" width="15.8984375" bestFit="1" customWidth="1"/>
    <col min="3" max="3" width="32.19921875" bestFit="1" customWidth="1"/>
    <col min="4" max="4" width="13.796875" bestFit="1" customWidth="1"/>
    <col min="5" max="5" width="14.8984375" bestFit="1" customWidth="1"/>
    <col min="6" max="6" width="20.796875" bestFit="1" customWidth="1"/>
    <col min="7" max="7" width="18" bestFit="1" customWidth="1"/>
    <col min="8" max="8" width="10.19921875" bestFit="1" customWidth="1"/>
    <col min="9" max="9" width="22.296875" bestFit="1" customWidth="1"/>
    <col min="10" max="10" width="37.3984375" bestFit="1" customWidth="1"/>
    <col min="11" max="11" width="16.796875" bestFit="1" customWidth="1"/>
    <col min="12" max="12" width="16.19921875" bestFit="1" customWidth="1"/>
    <col min="13" max="13" width="14" bestFit="1" customWidth="1"/>
    <col min="14" max="14" width="5.59765625" bestFit="1" customWidth="1"/>
    <col min="15" max="15" width="8.59765625" bestFit="1" customWidth="1"/>
    <col min="16" max="16" width="10.19921875" bestFit="1" customWidth="1"/>
    <col min="17" max="17" width="4.796875" bestFit="1" customWidth="1"/>
    <col min="18" max="18" width="4.69921875" bestFit="1" customWidth="1"/>
    <col min="19" max="19" width="7.09765625" bestFit="1" customWidth="1"/>
    <col min="20" max="20" width="9" bestFit="1" customWidth="1"/>
  </cols>
  <sheetData>
    <row r="1" spans="1:53" ht="19.95" customHeight="1">
      <c r="A1" s="1" t="s">
        <v>2441</v>
      </c>
      <c r="B1" s="1" t="s">
        <v>0</v>
      </c>
      <c r="C1" s="1" t="s">
        <v>1</v>
      </c>
      <c r="D1" s="1" t="s">
        <v>2</v>
      </c>
      <c r="E1" s="1" t="s">
        <v>3</v>
      </c>
      <c r="F1" s="1" t="s">
        <v>4</v>
      </c>
      <c r="G1" s="1" t="s">
        <v>5</v>
      </c>
      <c r="H1" s="1" t="s">
        <v>6</v>
      </c>
      <c r="I1" s="1" t="s">
        <v>7</v>
      </c>
      <c r="J1" s="1" t="s">
        <v>8</v>
      </c>
      <c r="K1" s="1" t="s">
        <v>9</v>
      </c>
      <c r="L1" s="1" t="s">
        <v>10</v>
      </c>
      <c r="M1" s="1" t="s">
        <v>11</v>
      </c>
      <c r="N1" s="2" t="s">
        <v>12</v>
      </c>
      <c r="O1" s="1" t="s">
        <v>13</v>
      </c>
      <c r="P1" s="1" t="s">
        <v>14</v>
      </c>
      <c r="Q1" s="1" t="s">
        <v>15</v>
      </c>
      <c r="R1" s="3" t="s">
        <v>16</v>
      </c>
      <c r="S1" s="3" t="s">
        <v>17</v>
      </c>
      <c r="T1" t="s">
        <v>18</v>
      </c>
    </row>
    <row r="2" spans="1:53" ht="19.95" customHeight="1">
      <c r="A2" s="4">
        <v>16</v>
      </c>
      <c r="B2" s="4" t="s">
        <v>64</v>
      </c>
      <c r="C2" s="4" t="s">
        <v>65</v>
      </c>
      <c r="D2" s="4" t="s">
        <v>21</v>
      </c>
      <c r="E2" s="4" t="s">
        <v>31</v>
      </c>
      <c r="F2" s="4" t="s">
        <v>23</v>
      </c>
      <c r="G2" s="4" t="s">
        <v>24</v>
      </c>
      <c r="H2" s="4" t="s">
        <v>25</v>
      </c>
      <c r="I2" s="4" t="s">
        <v>66</v>
      </c>
      <c r="J2" s="4" t="s">
        <v>67</v>
      </c>
      <c r="K2" s="5">
        <v>45315</v>
      </c>
      <c r="L2" s="5"/>
      <c r="M2" s="4"/>
      <c r="N2" s="6">
        <v>0</v>
      </c>
      <c r="O2" s="4" t="s">
        <v>28</v>
      </c>
      <c r="P2" s="4">
        <v>170</v>
      </c>
      <c r="Q2" s="4"/>
      <c r="R2" s="4"/>
      <c r="S2" s="4" t="s">
        <v>2443</v>
      </c>
      <c r="T2" s="4">
        <v>170</v>
      </c>
      <c r="U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row>
    <row r="3" spans="1:53" ht="19.95" customHeight="1">
      <c r="A3" s="4">
        <v>275</v>
      </c>
      <c r="B3" s="4" t="s">
        <v>862</v>
      </c>
      <c r="C3" s="4" t="s">
        <v>20</v>
      </c>
      <c r="D3" s="4" t="s">
        <v>21</v>
      </c>
      <c r="E3" s="4" t="s">
        <v>455</v>
      </c>
      <c r="F3" s="4" t="s">
        <v>23</v>
      </c>
      <c r="G3" s="4" t="s">
        <v>24</v>
      </c>
      <c r="H3" s="4" t="s">
        <v>25</v>
      </c>
      <c r="I3" s="4" t="s">
        <v>863</v>
      </c>
      <c r="J3" s="4" t="s">
        <v>864</v>
      </c>
      <c r="K3" s="5">
        <v>44954</v>
      </c>
      <c r="L3" s="5"/>
      <c r="M3" s="5">
        <v>45107</v>
      </c>
      <c r="N3" s="6"/>
      <c r="O3" s="4" t="s">
        <v>28</v>
      </c>
      <c r="P3" s="4">
        <v>5780.45</v>
      </c>
      <c r="Q3" s="4"/>
      <c r="R3" s="4"/>
      <c r="S3" s="4" t="s">
        <v>2443</v>
      </c>
      <c r="T3" s="4">
        <v>5780.45</v>
      </c>
      <c r="U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row>
    <row r="4" spans="1:53" ht="19.95" customHeight="1">
      <c r="A4" s="4">
        <v>277</v>
      </c>
      <c r="B4" s="4" t="s">
        <v>868</v>
      </c>
      <c r="C4" s="4" t="s">
        <v>65</v>
      </c>
      <c r="D4" s="4" t="s">
        <v>56</v>
      </c>
      <c r="E4" s="4" t="s">
        <v>672</v>
      </c>
      <c r="F4" s="4" t="s">
        <v>43</v>
      </c>
      <c r="G4" s="4" t="s">
        <v>24</v>
      </c>
      <c r="H4" s="4" t="s">
        <v>44</v>
      </c>
      <c r="I4" s="4" t="s">
        <v>869</v>
      </c>
      <c r="J4" s="4" t="s">
        <v>870</v>
      </c>
      <c r="K4" s="5">
        <v>44953</v>
      </c>
      <c r="L4" s="5"/>
      <c r="M4" s="5">
        <v>44998</v>
      </c>
      <c r="N4" s="6"/>
      <c r="O4" s="4" t="s">
        <v>28</v>
      </c>
      <c r="P4" s="4">
        <v>22783.86</v>
      </c>
      <c r="Q4" s="4"/>
      <c r="R4" s="4"/>
      <c r="S4" s="4" t="s">
        <v>2443</v>
      </c>
      <c r="T4" s="4">
        <v>22783.86</v>
      </c>
      <c r="U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row>
    <row r="5" spans="1:53" ht="19.95" customHeight="1">
      <c r="A5" s="4">
        <v>282</v>
      </c>
      <c r="B5" s="4" t="s">
        <v>881</v>
      </c>
      <c r="C5" s="4" t="s">
        <v>65</v>
      </c>
      <c r="D5" s="4" t="s">
        <v>882</v>
      </c>
      <c r="E5" s="4" t="s">
        <v>672</v>
      </c>
      <c r="F5" s="4" t="s">
        <v>43</v>
      </c>
      <c r="G5" s="4" t="s">
        <v>24</v>
      </c>
      <c r="H5" s="4" t="s">
        <v>44</v>
      </c>
      <c r="I5" s="4" t="s">
        <v>883</v>
      </c>
      <c r="J5" s="4" t="s">
        <v>884</v>
      </c>
      <c r="K5" s="5">
        <v>44945</v>
      </c>
      <c r="L5" s="5"/>
      <c r="M5" s="5">
        <v>44981</v>
      </c>
      <c r="N5" s="6"/>
      <c r="O5" s="4" t="s">
        <v>28</v>
      </c>
      <c r="P5" s="4">
        <v>16399.349999999999</v>
      </c>
      <c r="Q5" s="4"/>
      <c r="R5" s="4"/>
      <c r="S5" s="4" t="s">
        <v>2443</v>
      </c>
      <c r="T5" s="4">
        <v>16399.349999999999</v>
      </c>
      <c r="U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row>
    <row r="6" spans="1:53" ht="19.95" customHeight="1">
      <c r="A6" s="4">
        <v>287</v>
      </c>
      <c r="B6" s="4" t="s">
        <v>897</v>
      </c>
      <c r="C6" s="4" t="s">
        <v>20</v>
      </c>
      <c r="D6" s="4" t="s">
        <v>21</v>
      </c>
      <c r="E6" s="4" t="s">
        <v>325</v>
      </c>
      <c r="F6" s="4" t="s">
        <v>23</v>
      </c>
      <c r="G6" s="4" t="s">
        <v>24</v>
      </c>
      <c r="H6" s="4" t="s">
        <v>25</v>
      </c>
      <c r="I6" s="4" t="s">
        <v>898</v>
      </c>
      <c r="J6" s="4" t="s">
        <v>899</v>
      </c>
      <c r="K6" s="5">
        <v>44942</v>
      </c>
      <c r="L6" s="5"/>
      <c r="M6" s="5">
        <v>45144</v>
      </c>
      <c r="N6" s="6"/>
      <c r="O6" s="4" t="s">
        <v>334</v>
      </c>
      <c r="P6" s="4">
        <v>6005.87</v>
      </c>
      <c r="Q6" s="4"/>
      <c r="R6" s="4"/>
      <c r="S6" s="4" t="s">
        <v>2443</v>
      </c>
      <c r="T6" s="4">
        <v>6005.87</v>
      </c>
      <c r="U6" s="4"/>
      <c r="W6" s="4"/>
      <c r="X6" s="4"/>
      <c r="Y6" s="4"/>
      <c r="Z6" s="4"/>
      <c r="AA6" s="4"/>
      <c r="AB6" s="4"/>
      <c r="AC6" s="4"/>
      <c r="AD6" s="4"/>
      <c r="AE6" s="4"/>
      <c r="AF6" s="4"/>
      <c r="AG6" s="4"/>
      <c r="AH6" s="4"/>
      <c r="AI6" s="4"/>
      <c r="AJ6" s="4"/>
      <c r="AK6" s="4"/>
      <c r="AL6" s="4"/>
      <c r="AM6" s="4"/>
      <c r="AN6" s="4"/>
      <c r="AO6" s="4"/>
      <c r="AP6" s="4"/>
      <c r="AQ6" s="4"/>
      <c r="AR6" s="4"/>
      <c r="AS6" s="4"/>
      <c r="AT6" s="4"/>
      <c r="AU6" s="4"/>
      <c r="AV6" s="4"/>
      <c r="AW6" s="4"/>
      <c r="AX6" s="4"/>
      <c r="AY6" s="4"/>
      <c r="AZ6" s="4"/>
      <c r="BA6" s="4"/>
    </row>
    <row r="7" spans="1:53" ht="19.95" customHeight="1">
      <c r="A7" s="4">
        <v>298</v>
      </c>
      <c r="B7" s="4" t="s">
        <v>932</v>
      </c>
      <c r="C7" s="4" t="s">
        <v>65</v>
      </c>
      <c r="D7" s="4" t="s">
        <v>21</v>
      </c>
      <c r="E7" s="4" t="s">
        <v>39</v>
      </c>
      <c r="F7" s="4" t="s">
        <v>48</v>
      </c>
      <c r="G7" s="4" t="s">
        <v>24</v>
      </c>
      <c r="H7" s="4" t="s">
        <v>49</v>
      </c>
      <c r="I7" s="4" t="s">
        <v>933</v>
      </c>
      <c r="J7" s="4" t="s">
        <v>934</v>
      </c>
      <c r="K7" s="5">
        <v>44929</v>
      </c>
      <c r="L7" s="5"/>
      <c r="M7" s="4"/>
      <c r="N7" s="6">
        <v>0</v>
      </c>
      <c r="O7" s="4" t="s">
        <v>28</v>
      </c>
      <c r="P7" s="4">
        <v>195</v>
      </c>
      <c r="Q7" s="4"/>
      <c r="R7" s="4"/>
      <c r="S7" s="4" t="s">
        <v>2443</v>
      </c>
      <c r="T7" s="4">
        <v>195</v>
      </c>
      <c r="U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row>
    <row r="8" spans="1:53" ht="19.95" customHeight="1">
      <c r="A8" s="4">
        <v>383</v>
      </c>
      <c r="B8" s="4" t="s">
        <v>1179</v>
      </c>
      <c r="C8" s="4" t="s">
        <v>20</v>
      </c>
      <c r="D8" s="4" t="s">
        <v>21</v>
      </c>
      <c r="E8" s="4" t="s">
        <v>455</v>
      </c>
      <c r="F8" s="4" t="s">
        <v>23</v>
      </c>
      <c r="G8" s="4" t="s">
        <v>24</v>
      </c>
      <c r="H8" s="4" t="s">
        <v>25</v>
      </c>
      <c r="I8" s="4" t="s">
        <v>1180</v>
      </c>
      <c r="J8" s="4" t="s">
        <v>1181</v>
      </c>
      <c r="K8" s="5">
        <v>44642</v>
      </c>
      <c r="L8" s="5"/>
      <c r="M8" s="4"/>
      <c r="N8" s="6">
        <v>0</v>
      </c>
      <c r="O8" s="4" t="s">
        <v>28</v>
      </c>
      <c r="P8" s="4">
        <v>45</v>
      </c>
      <c r="Q8" s="4"/>
      <c r="R8" s="4"/>
      <c r="S8" s="4" t="s">
        <v>2443</v>
      </c>
      <c r="T8" s="4">
        <v>45</v>
      </c>
      <c r="U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7"/>
  <sheetViews>
    <sheetView workbookViewId="0">
      <selection activeCell="A12" sqref="A12"/>
    </sheetView>
  </sheetViews>
  <sheetFormatPr defaultRowHeight="13.8"/>
  <cols>
    <col min="1" max="1" width="12.3984375" bestFit="1" customWidth="1"/>
    <col min="2" max="2" width="11.3984375" bestFit="1" customWidth="1"/>
  </cols>
  <sheetData>
    <row r="1" spans="1:2">
      <c r="A1" s="8" t="s">
        <v>16</v>
      </c>
      <c r="B1" t="s">
        <v>2461</v>
      </c>
    </row>
    <row r="3" spans="1:2">
      <c r="A3" s="8" t="s">
        <v>2442</v>
      </c>
      <c r="B3" t="s">
        <v>2456</v>
      </c>
    </row>
    <row r="4" spans="1:2">
      <c r="A4" s="9" t="s">
        <v>2443</v>
      </c>
      <c r="B4" s="14">
        <v>1468</v>
      </c>
    </row>
    <row r="5" spans="1:2">
      <c r="A5" s="9" t="s">
        <v>2444</v>
      </c>
      <c r="B5" s="14">
        <v>1672</v>
      </c>
    </row>
    <row r="6" spans="1:2">
      <c r="A6" s="9" t="s">
        <v>2445</v>
      </c>
      <c r="B6" s="14">
        <v>1072</v>
      </c>
    </row>
    <row r="7" spans="1:2">
      <c r="A7" s="9" t="s">
        <v>2446</v>
      </c>
      <c r="B7" s="14">
        <v>810</v>
      </c>
    </row>
    <row r="8" spans="1:2">
      <c r="A8" s="9" t="s">
        <v>2447</v>
      </c>
      <c r="B8" s="14">
        <v>137</v>
      </c>
    </row>
    <row r="9" spans="1:2">
      <c r="A9" s="9" t="s">
        <v>2448</v>
      </c>
      <c r="B9" s="14">
        <v>236</v>
      </c>
    </row>
    <row r="10" spans="1:2">
      <c r="A10" s="9" t="s">
        <v>2449</v>
      </c>
      <c r="B10" s="14">
        <v>1284</v>
      </c>
    </row>
    <row r="11" spans="1:2">
      <c r="A11" s="9" t="s">
        <v>2450</v>
      </c>
      <c r="B11" s="14">
        <v>499</v>
      </c>
    </row>
    <row r="12" spans="1:2">
      <c r="A12" s="9" t="s">
        <v>2451</v>
      </c>
      <c r="B12" s="14">
        <v>391</v>
      </c>
    </row>
    <row r="13" spans="1:2">
      <c r="A13" s="9" t="s">
        <v>2452</v>
      </c>
      <c r="B13" s="14">
        <v>334</v>
      </c>
    </row>
    <row r="14" spans="1:2">
      <c r="A14" s="9" t="s">
        <v>2453</v>
      </c>
      <c r="B14" s="14">
        <v>455</v>
      </c>
    </row>
    <row r="15" spans="1:2">
      <c r="A15" s="9" t="s">
        <v>2454</v>
      </c>
      <c r="B15" s="14">
        <v>1534</v>
      </c>
    </row>
    <row r="16" spans="1:2">
      <c r="A16" s="9" t="s">
        <v>2460</v>
      </c>
      <c r="B16" s="14"/>
    </row>
    <row r="17" spans="1:2">
      <c r="A17" s="9" t="s">
        <v>2455</v>
      </c>
      <c r="B17" s="14">
        <v>9892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4"/>
  <sheetViews>
    <sheetView workbookViewId="0">
      <selection activeCell="A12" sqref="A12"/>
    </sheetView>
  </sheetViews>
  <sheetFormatPr defaultRowHeight="13.8"/>
  <cols>
    <col min="1" max="1" width="12.3984375" bestFit="1" customWidth="1"/>
    <col min="2" max="2" width="11.3984375" bestFit="1" customWidth="1"/>
  </cols>
  <sheetData>
    <row r="1" spans="1:2">
      <c r="A1" s="8" t="s">
        <v>16</v>
      </c>
      <c r="B1" t="s">
        <v>2461</v>
      </c>
    </row>
    <row r="3" spans="1:2">
      <c r="A3" s="8" t="s">
        <v>2442</v>
      </c>
      <c r="B3" t="s">
        <v>2456</v>
      </c>
    </row>
    <row r="4" spans="1:2">
      <c r="A4" s="9" t="s">
        <v>44</v>
      </c>
      <c r="B4" s="14">
        <v>675</v>
      </c>
    </row>
    <row r="5" spans="1:2">
      <c r="A5" s="9" t="s">
        <v>49</v>
      </c>
      <c r="B5" s="14">
        <v>681</v>
      </c>
    </row>
    <row r="6" spans="1:2">
      <c r="A6" s="9" t="s">
        <v>25</v>
      </c>
      <c r="B6" s="14">
        <v>6207</v>
      </c>
    </row>
    <row r="7" spans="1:2">
      <c r="A7" s="9" t="s">
        <v>117</v>
      </c>
      <c r="B7" s="14">
        <v>184</v>
      </c>
    </row>
    <row r="8" spans="1:2">
      <c r="A8" s="9" t="s">
        <v>286</v>
      </c>
      <c r="B8" s="14">
        <v>156</v>
      </c>
    </row>
    <row r="9" spans="1:2">
      <c r="A9" s="9" t="s">
        <v>129</v>
      </c>
      <c r="B9" s="14">
        <v>145</v>
      </c>
    </row>
    <row r="10" spans="1:2">
      <c r="A10" s="9" t="s">
        <v>224</v>
      </c>
      <c r="B10" s="14">
        <v>138</v>
      </c>
    </row>
    <row r="11" spans="1:2">
      <c r="A11" s="9" t="s">
        <v>97</v>
      </c>
      <c r="B11" s="14">
        <v>116</v>
      </c>
    </row>
    <row r="12" spans="1:2">
      <c r="A12" s="9" t="s">
        <v>346</v>
      </c>
      <c r="B12" s="14">
        <v>711</v>
      </c>
    </row>
    <row r="13" spans="1:2">
      <c r="A13" s="9" t="s">
        <v>200</v>
      </c>
      <c r="B13" s="14">
        <v>104</v>
      </c>
    </row>
    <row r="14" spans="1:2">
      <c r="A14" s="9" t="s">
        <v>2455</v>
      </c>
      <c r="B14" s="14">
        <v>9117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5"/>
  <sheetViews>
    <sheetView workbookViewId="0">
      <selection activeCell="A12" sqref="A12"/>
    </sheetView>
  </sheetViews>
  <sheetFormatPr defaultRowHeight="13.8"/>
  <cols>
    <col min="1" max="1" width="12.3984375" bestFit="1" customWidth="1"/>
    <col min="2" max="2" width="11.3984375" bestFit="1" customWidth="1"/>
    <col min="3" max="3" width="11.3984375" style="11" bestFit="1" customWidth="1"/>
    <col min="7" max="7" width="12.69921875" bestFit="1" customWidth="1"/>
  </cols>
  <sheetData>
    <row r="1" spans="1:7">
      <c r="A1" s="8" t="s">
        <v>16</v>
      </c>
      <c r="B1" t="s">
        <v>2461</v>
      </c>
      <c r="E1" t="s">
        <v>2459</v>
      </c>
      <c r="F1">
        <f>GETPIVOTDATA("Sum of Night",$A$3)</f>
        <v>8780</v>
      </c>
      <c r="G1" s="12">
        <f>GETPIVOTDATA("Sum of value",$A$3)</f>
        <v>5395294.1100000003</v>
      </c>
    </row>
    <row r="3" spans="1:7">
      <c r="A3" s="8" t="s">
        <v>2442</v>
      </c>
      <c r="B3" t="s">
        <v>2456</v>
      </c>
      <c r="C3" s="11" t="s">
        <v>2458</v>
      </c>
    </row>
    <row r="4" spans="1:7">
      <c r="A4" s="9" t="s">
        <v>1434</v>
      </c>
      <c r="B4" s="14">
        <v>175</v>
      </c>
      <c r="C4" s="11">
        <v>131181.07</v>
      </c>
    </row>
    <row r="5" spans="1:7">
      <c r="A5" s="9" t="s">
        <v>1567</v>
      </c>
      <c r="B5" s="14">
        <v>344</v>
      </c>
      <c r="C5" s="11">
        <v>533579.92999999993</v>
      </c>
    </row>
    <row r="6" spans="1:7">
      <c r="A6" s="9" t="s">
        <v>672</v>
      </c>
      <c r="B6" s="14">
        <v>213</v>
      </c>
      <c r="C6" s="11">
        <v>255802.86000000002</v>
      </c>
    </row>
    <row r="7" spans="1:7">
      <c r="A7" s="9" t="s">
        <v>22</v>
      </c>
      <c r="B7" s="14">
        <v>2410</v>
      </c>
      <c r="C7" s="11">
        <v>1880517.8100000005</v>
      </c>
    </row>
    <row r="8" spans="1:7">
      <c r="A8" s="9" t="s">
        <v>1594</v>
      </c>
      <c r="B8" s="14">
        <v>191</v>
      </c>
      <c r="C8" s="11">
        <v>51337.599999999991</v>
      </c>
    </row>
    <row r="9" spans="1:7">
      <c r="A9" s="9" t="s">
        <v>1523</v>
      </c>
      <c r="B9" s="14">
        <v>395</v>
      </c>
      <c r="C9" s="11">
        <v>154087.14000000001</v>
      </c>
    </row>
    <row r="10" spans="1:7">
      <c r="A10" s="9" t="s">
        <v>39</v>
      </c>
      <c r="B10" s="14">
        <v>3644</v>
      </c>
      <c r="C10" s="11">
        <v>1797673.8699999999</v>
      </c>
    </row>
    <row r="11" spans="1:7">
      <c r="A11" s="9" t="s">
        <v>76</v>
      </c>
      <c r="B11" s="14">
        <v>606</v>
      </c>
      <c r="C11" s="11">
        <v>344238.43</v>
      </c>
    </row>
    <row r="12" spans="1:7">
      <c r="A12" s="9" t="s">
        <v>1507</v>
      </c>
      <c r="B12" s="14">
        <v>218</v>
      </c>
      <c r="C12" s="11">
        <v>8716</v>
      </c>
    </row>
    <row r="13" spans="1:7">
      <c r="A13" s="9" t="s">
        <v>31</v>
      </c>
      <c r="B13" s="14">
        <v>584</v>
      </c>
      <c r="C13" s="11">
        <v>238159.39999999997</v>
      </c>
    </row>
    <row r="14" spans="1:7">
      <c r="A14" s="9" t="s">
        <v>2455</v>
      </c>
      <c r="B14" s="14">
        <v>8780</v>
      </c>
      <c r="C14" s="11">
        <v>5395294.1100000003</v>
      </c>
    </row>
    <row r="15" spans="1:7">
      <c r="C15"/>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B8"/>
  <sheetViews>
    <sheetView workbookViewId="0">
      <selection activeCell="A12" sqref="A12"/>
    </sheetView>
  </sheetViews>
  <sheetFormatPr defaultRowHeight="13.8"/>
  <cols>
    <col min="1" max="1" width="32.19921875" bestFit="1" customWidth="1"/>
    <col min="2" max="2" width="11.3984375" bestFit="1" customWidth="1"/>
    <col min="3" max="7" width="5" bestFit="1" customWidth="1"/>
    <col min="8" max="8" width="7" bestFit="1" customWidth="1"/>
    <col min="9" max="9" width="10.59765625" bestFit="1" customWidth="1"/>
    <col min="10" max="10" width="10.296875" bestFit="1" customWidth="1"/>
    <col min="11" max="11" width="7.69921875" bestFit="1" customWidth="1"/>
    <col min="12" max="13" width="9.69921875" bestFit="1" customWidth="1"/>
    <col min="14" max="14" width="10.59765625" bestFit="1" customWidth="1"/>
  </cols>
  <sheetData>
    <row r="2" spans="1:2">
      <c r="A2" s="8" t="s">
        <v>16</v>
      </c>
      <c r="B2" t="s">
        <v>2461</v>
      </c>
    </row>
    <row r="4" spans="1:2">
      <c r="A4" s="8" t="s">
        <v>2442</v>
      </c>
      <c r="B4" t="s">
        <v>2456</v>
      </c>
    </row>
    <row r="5" spans="1:2">
      <c r="A5" s="9" t="s">
        <v>20</v>
      </c>
      <c r="B5" s="14">
        <v>7637</v>
      </c>
    </row>
    <row r="6" spans="1:2">
      <c r="A6" s="9" t="s">
        <v>65</v>
      </c>
      <c r="B6" s="14">
        <v>2255</v>
      </c>
    </row>
    <row r="7" spans="1:2">
      <c r="A7" s="9" t="s">
        <v>2460</v>
      </c>
      <c r="B7" s="14"/>
    </row>
    <row r="8" spans="1:2">
      <c r="A8" s="9" t="s">
        <v>2455</v>
      </c>
      <c r="B8" s="14">
        <v>9892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1"/>
  <sheetViews>
    <sheetView workbookViewId="0">
      <selection activeCell="A12" sqref="A12"/>
    </sheetView>
  </sheetViews>
  <sheetFormatPr defaultRowHeight="13.8"/>
  <cols>
    <col min="1" max="1" width="12.3984375" bestFit="1" customWidth="1"/>
    <col min="2" max="2" width="11.3984375" bestFit="1" customWidth="1"/>
  </cols>
  <sheetData>
    <row r="3" spans="1:2">
      <c r="A3" s="8" t="s">
        <v>2442</v>
      </c>
      <c r="B3" t="s">
        <v>2456</v>
      </c>
    </row>
    <row r="4" spans="1:2">
      <c r="A4" s="9" t="s">
        <v>2462</v>
      </c>
      <c r="B4" s="14">
        <v>1806</v>
      </c>
    </row>
    <row r="5" spans="1:2">
      <c r="A5" s="9" t="s">
        <v>2463</v>
      </c>
      <c r="B5" s="14">
        <v>1047</v>
      </c>
    </row>
    <row r="6" spans="1:2">
      <c r="A6" s="9" t="s">
        <v>2464</v>
      </c>
      <c r="B6" s="14">
        <v>742</v>
      </c>
    </row>
    <row r="7" spans="1:2">
      <c r="A7" s="9" t="s">
        <v>2465</v>
      </c>
      <c r="B7" s="14">
        <v>1931</v>
      </c>
    </row>
    <row r="8" spans="1:2">
      <c r="A8" s="9" t="s">
        <v>2457</v>
      </c>
      <c r="B8" s="14">
        <v>2690</v>
      </c>
    </row>
    <row r="9" spans="1:2">
      <c r="A9" s="9" t="s">
        <v>2466</v>
      </c>
      <c r="B9" s="14">
        <v>1676</v>
      </c>
    </row>
    <row r="10" spans="1:2">
      <c r="A10" s="9" t="s">
        <v>2460</v>
      </c>
      <c r="B10" s="14">
        <v>0</v>
      </c>
    </row>
    <row r="11" spans="1:2">
      <c r="A11" s="9" t="s">
        <v>2455</v>
      </c>
      <c r="B11" s="14">
        <v>9892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3"/>
  <sheetViews>
    <sheetView workbookViewId="0">
      <selection activeCell="A12" sqref="A12"/>
    </sheetView>
  </sheetViews>
  <sheetFormatPr defaultRowHeight="13.8"/>
  <cols>
    <col min="1" max="1" width="21.296875" bestFit="1" customWidth="1"/>
    <col min="2" max="2" width="11.3984375" bestFit="1" customWidth="1"/>
    <col min="3" max="10" width="21.8984375" bestFit="1" customWidth="1"/>
    <col min="11" max="12" width="10.59765625" bestFit="1" customWidth="1"/>
  </cols>
  <sheetData>
    <row r="1" spans="1:2">
      <c r="A1" s="8" t="s">
        <v>16</v>
      </c>
      <c r="B1" t="s">
        <v>2461</v>
      </c>
    </row>
    <row r="3" spans="1:2">
      <c r="A3" s="8" t="s">
        <v>2442</v>
      </c>
      <c r="B3" t="s">
        <v>2456</v>
      </c>
    </row>
    <row r="4" spans="1:2">
      <c r="A4" s="9" t="s">
        <v>1383</v>
      </c>
      <c r="B4" s="14">
        <v>340</v>
      </c>
    </row>
    <row r="5" spans="1:2">
      <c r="A5" s="9" t="s">
        <v>301</v>
      </c>
      <c r="B5" s="14">
        <v>4</v>
      </c>
    </row>
    <row r="6" spans="1:2">
      <c r="A6" s="9" t="s">
        <v>30</v>
      </c>
      <c r="B6" s="14">
        <v>152</v>
      </c>
    </row>
    <row r="7" spans="1:2">
      <c r="A7" s="9" t="s">
        <v>56</v>
      </c>
      <c r="B7" s="14">
        <v>1175</v>
      </c>
    </row>
    <row r="8" spans="1:2">
      <c r="A8" s="9" t="s">
        <v>356</v>
      </c>
      <c r="B8" s="14">
        <v>191</v>
      </c>
    </row>
    <row r="9" spans="1:2">
      <c r="A9" s="9" t="s">
        <v>38</v>
      </c>
      <c r="B9" s="14">
        <v>405</v>
      </c>
    </row>
    <row r="10" spans="1:2">
      <c r="A10" s="9" t="s">
        <v>21</v>
      </c>
      <c r="B10" s="14">
        <v>4635</v>
      </c>
    </row>
    <row r="11" spans="1:2">
      <c r="A11" s="9" t="s">
        <v>75</v>
      </c>
      <c r="B11" s="14">
        <v>114</v>
      </c>
    </row>
    <row r="12" spans="1:2">
      <c r="A12" s="9" t="s">
        <v>2460</v>
      </c>
      <c r="B12" s="14">
        <v>2876</v>
      </c>
    </row>
    <row r="13" spans="1:2">
      <c r="A13" s="9" t="s">
        <v>2455</v>
      </c>
      <c r="B13" s="14">
        <v>9892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27"/>
  <sheetViews>
    <sheetView zoomScale="83" zoomScaleNormal="83" workbookViewId="0">
      <pane xSplit="27" ySplit="32" topLeftCell="AB33" activePane="bottomRight" state="frozen"/>
      <selection pane="topRight" activeCell="AB1" sqref="AB1"/>
      <selection pane="bottomLeft" activeCell="A33" sqref="A33"/>
      <selection pane="bottomRight" activeCell="AB6" sqref="AB6"/>
    </sheetView>
  </sheetViews>
  <sheetFormatPr defaultRowHeight="13.8"/>
  <cols>
    <col min="27" max="27" width="12" customWidth="1"/>
  </cols>
  <sheetData>
    <row r="1" s="10" customFormat="1"/>
    <row r="2" s="10" customFormat="1"/>
    <row r="3" s="10" customFormat="1"/>
    <row r="4" s="10" customFormat="1" ht="21" customHeight="1"/>
    <row r="5" s="13" customFormat="1"/>
    <row r="6" s="13" customFormat="1"/>
    <row r="7" s="13" customFormat="1"/>
    <row r="8" s="13" customFormat="1"/>
    <row r="9" s="13" customFormat="1"/>
    <row r="10" s="13" customFormat="1"/>
    <row r="11" s="13" customFormat="1"/>
    <row r="12" s="13" customFormat="1"/>
    <row r="13" s="13" customFormat="1"/>
    <row r="14" s="13" customFormat="1"/>
    <row r="15" s="13" customFormat="1"/>
    <row r="16" s="13" customFormat="1"/>
    <row r="17" s="13" customFormat="1"/>
    <row r="18" s="13" customFormat="1"/>
    <row r="19" s="13" customFormat="1"/>
    <row r="20" s="13" customFormat="1"/>
    <row r="21" s="13" customFormat="1"/>
    <row r="22" s="13" customFormat="1"/>
    <row r="23" s="13" customFormat="1"/>
    <row r="24" s="13" customFormat="1"/>
    <row r="25" s="13" customFormat="1"/>
    <row r="26" s="13" customFormat="1"/>
    <row r="27" s="13" customFormat="1"/>
    <row r="28" s="13" customFormat="1"/>
    <row r="29" s="13" customFormat="1"/>
    <row r="30" s="13" customFormat="1"/>
    <row r="31" s="13" customFormat="1"/>
    <row r="32" s="13" customFormat="1" ht="23.4" customHeight="1"/>
    <row r="33" s="13" customFormat="1"/>
    <row r="34" s="13" customFormat="1"/>
    <row r="35" s="13" customFormat="1"/>
    <row r="36" s="13" customFormat="1"/>
    <row r="37" s="13" customFormat="1"/>
    <row r="38" s="13" customFormat="1"/>
    <row r="39" s="13" customFormat="1"/>
    <row r="40" s="13" customFormat="1"/>
    <row r="41" s="13" customFormat="1"/>
    <row r="42" s="13" customFormat="1"/>
    <row r="43" s="13" customFormat="1"/>
    <row r="44" s="13" customFormat="1"/>
    <row r="45" s="13" customFormat="1"/>
    <row r="46" s="13" customFormat="1"/>
    <row r="47" s="13" customFormat="1"/>
    <row r="48" s="13" customFormat="1"/>
    <row r="49" s="13" customFormat="1"/>
    <row r="50" s="13" customFormat="1"/>
    <row r="51" s="13" customFormat="1"/>
    <row r="52" s="13" customFormat="1"/>
    <row r="53" s="13" customFormat="1"/>
    <row r="54" s="13" customFormat="1"/>
    <row r="55" s="13" customFormat="1"/>
    <row r="56" s="13" customFormat="1"/>
    <row r="57" s="13" customFormat="1"/>
    <row r="58" s="13" customFormat="1"/>
    <row r="59" s="13" customFormat="1"/>
    <row r="60" s="13" customFormat="1"/>
    <row r="61" s="13" customFormat="1"/>
    <row r="62" s="13" customFormat="1"/>
    <row r="63" s="13" customFormat="1"/>
    <row r="64" s="13" customFormat="1"/>
    <row r="65" s="13" customFormat="1"/>
    <row r="66" s="13" customFormat="1"/>
    <row r="67" s="13" customFormat="1"/>
    <row r="68" s="13" customFormat="1"/>
    <row r="69" s="13" customFormat="1"/>
    <row r="70" s="13" customFormat="1"/>
    <row r="71" s="13" customFormat="1"/>
    <row r="72" s="13" customFormat="1"/>
    <row r="73" s="13" customFormat="1"/>
    <row r="74" s="13" customFormat="1"/>
    <row r="75" s="13" customFormat="1"/>
    <row r="76" s="13" customFormat="1"/>
    <row r="77" s="13" customFormat="1"/>
    <row r="78" s="13" customFormat="1"/>
    <row r="79" s="13" customFormat="1"/>
    <row r="80" s="13" customFormat="1"/>
    <row r="81" s="13" customFormat="1"/>
    <row r="82" s="13" customFormat="1"/>
    <row r="83" s="13" customFormat="1"/>
    <row r="84" s="13" customFormat="1"/>
    <row r="85" s="13" customFormat="1"/>
    <row r="86" s="13" customFormat="1"/>
    <row r="87" s="13" customFormat="1"/>
    <row r="88" s="13" customFormat="1"/>
    <row r="89" s="13" customFormat="1"/>
    <row r="90" s="13" customFormat="1"/>
    <row r="91" s="13" customFormat="1"/>
    <row r="92" s="13" customFormat="1"/>
    <row r="93" s="13" customFormat="1"/>
    <row r="94" s="13" customFormat="1"/>
    <row r="95" s="13" customFormat="1"/>
    <row r="96" s="13" customFormat="1"/>
    <row r="97" s="13" customFormat="1"/>
    <row r="98" s="13" customFormat="1"/>
    <row r="99" s="13" customFormat="1"/>
    <row r="100" s="13" customFormat="1"/>
    <row r="101" s="13" customFormat="1"/>
    <row r="102" s="13" customFormat="1"/>
    <row r="103" s="13" customFormat="1"/>
    <row r="104" s="13" customFormat="1"/>
    <row r="105" s="13" customFormat="1"/>
    <row r="106" s="13" customFormat="1"/>
    <row r="107" s="13" customFormat="1"/>
    <row r="108" s="13" customFormat="1"/>
    <row r="109" s="13" customFormat="1"/>
    <row r="110" s="13" customFormat="1"/>
    <row r="111" s="13" customFormat="1"/>
    <row r="112" s="13" customFormat="1"/>
    <row r="113" s="13" customFormat="1"/>
    <row r="114" s="13" customFormat="1"/>
    <row r="115" s="13" customFormat="1"/>
    <row r="116" s="13" customFormat="1"/>
    <row r="117" s="13" customFormat="1"/>
    <row r="118" s="13" customFormat="1"/>
    <row r="119" s="13" customFormat="1"/>
    <row r="120" s="13" customFormat="1"/>
    <row r="121" s="13" customFormat="1"/>
    <row r="122" s="13" customFormat="1"/>
    <row r="123" s="13" customFormat="1"/>
    <row r="124" s="13" customFormat="1"/>
    <row r="125" s="13" customFormat="1"/>
    <row r="126" s="13" customFormat="1"/>
    <row r="127" s="13" customFormat="1"/>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Sheet1</vt:lpstr>
      <vt:lpstr>undentified</vt:lpstr>
      <vt:lpstr>Sheet2</vt:lpstr>
      <vt:lpstr>Sheet4</vt:lpstr>
      <vt:lpstr>Sheet8</vt:lpstr>
      <vt:lpstr>Sheet5</vt:lpstr>
      <vt:lpstr>Sheet3</vt:lpstr>
      <vt:lpstr>Sheet9</vt:lpstr>
      <vt:lpstr>DB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Krishan Karunarathne</dc:creator>
  <cp:lastModifiedBy>Ashan</cp:lastModifiedBy>
  <dcterms:created xsi:type="dcterms:W3CDTF">2024-03-25T15:32:14Z</dcterms:created>
  <dcterms:modified xsi:type="dcterms:W3CDTF">2024-05-03T04:19:54Z</dcterms:modified>
</cp:coreProperties>
</file>